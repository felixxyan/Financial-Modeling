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bf2e776530383d/Desktop/"/>
    </mc:Choice>
  </mc:AlternateContent>
  <xr:revisionPtr revIDLastSave="0" documentId="8_{3921079E-B6B6-4237-BCB9-01DEE1FEE355}" xr6:coauthVersionLast="47" xr6:coauthVersionMax="47" xr10:uidLastSave="{00000000-0000-0000-0000-000000000000}"/>
  <bookViews>
    <workbookView xWindow="-120" yWindow="-120" windowWidth="29040" windowHeight="15720" xr2:uid="{701E15CC-32A9-4424-9E04-31CC5C5C104A}"/>
  </bookViews>
  <sheets>
    <sheet name="M&amp;A" sheetId="1" r:id="rId1"/>
    <sheet name="Target Financials" sheetId="4" r:id="rId2"/>
    <sheet name="Acquirer Financials" sheetId="3" r:id="rId3"/>
    <sheet name="Pro Forma Financials" sheetId="2" r:id="rId4"/>
    <sheet name="Shares" sheetId="8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1" l="1"/>
  <c r="G61" i="2"/>
  <c r="I76" i="1"/>
  <c r="I74" i="1"/>
  <c r="I72" i="1"/>
  <c r="I67" i="1"/>
  <c r="I65" i="1"/>
  <c r="I63" i="1"/>
  <c r="I58" i="1"/>
  <c r="I56" i="1"/>
  <c r="I54" i="1"/>
  <c r="I45" i="1"/>
  <c r="I47" i="1"/>
  <c r="I49" i="1"/>
  <c r="D59" i="1"/>
  <c r="F61" i="2"/>
  <c r="G52" i="2"/>
  <c r="F51" i="2"/>
  <c r="D43" i="1"/>
  <c r="D42" i="1"/>
  <c r="G52" i="1"/>
  <c r="G48" i="1"/>
  <c r="G37" i="1"/>
  <c r="G30" i="1"/>
  <c r="D46" i="2"/>
  <c r="H46" i="2" s="1"/>
  <c r="D47" i="2"/>
  <c r="D48" i="2"/>
  <c r="D50" i="2"/>
  <c r="G50" i="2" s="1"/>
  <c r="D51" i="2"/>
  <c r="D52" i="2"/>
  <c r="D55" i="2"/>
  <c r="D56" i="2"/>
  <c r="D58" i="2"/>
  <c r="D59" i="2"/>
  <c r="G59" i="2" s="1"/>
  <c r="D60" i="2"/>
  <c r="D61" i="2"/>
  <c r="D62" i="2"/>
  <c r="E62" i="2"/>
  <c r="E60" i="2"/>
  <c r="E59" i="2"/>
  <c r="E58" i="2"/>
  <c r="E57" i="2"/>
  <c r="E56" i="2"/>
  <c r="E55" i="2"/>
  <c r="E52" i="2"/>
  <c r="E49" i="2"/>
  <c r="H49" i="2" s="1"/>
  <c r="E48" i="2"/>
  <c r="E47" i="2"/>
  <c r="E9" i="2"/>
  <c r="F9" i="2"/>
  <c r="G9" i="2"/>
  <c r="H9" i="2"/>
  <c r="D9" i="2"/>
  <c r="E19" i="2"/>
  <c r="F19" i="2"/>
  <c r="G19" i="2"/>
  <c r="H19" i="2"/>
  <c r="D19" i="2"/>
  <c r="E15" i="2"/>
  <c r="F15" i="2"/>
  <c r="G15" i="2"/>
  <c r="H15" i="2"/>
  <c r="E11" i="2"/>
  <c r="F11" i="2"/>
  <c r="G11" i="2"/>
  <c r="H11" i="2"/>
  <c r="D11" i="2"/>
  <c r="H47" i="2" l="1"/>
  <c r="E63" i="2"/>
  <c r="F13" i="2"/>
  <c r="F14" i="2" s="1"/>
  <c r="H52" i="2"/>
  <c r="H51" i="2"/>
  <c r="H13" i="2"/>
  <c r="H14" i="2" s="1"/>
  <c r="H16" i="2"/>
  <c r="D13" i="2"/>
  <c r="D14" i="2" s="1"/>
  <c r="D63" i="2"/>
  <c r="G16" i="2"/>
  <c r="F16" i="2"/>
  <c r="E13" i="2"/>
  <c r="E14" i="2" s="1"/>
  <c r="G13" i="2"/>
  <c r="G14" i="2" s="1"/>
  <c r="E16" i="2"/>
  <c r="I44" i="3" l="1"/>
  <c r="I45" i="3"/>
  <c r="I46" i="3"/>
  <c r="I24" i="4"/>
  <c r="J24" i="4" s="1"/>
  <c r="D10" i="2"/>
  <c r="I202" i="3"/>
  <c r="K23" i="3"/>
  <c r="L23" i="3" s="1"/>
  <c r="M23" i="3" s="1"/>
  <c r="J23" i="3"/>
  <c r="I23" i="3"/>
  <c r="D188" i="4"/>
  <c r="H257" i="4"/>
  <c r="K24" i="4" l="1"/>
  <c r="E25" i="2"/>
  <c r="D25" i="2"/>
  <c r="L24" i="4" l="1"/>
  <c r="F25" i="2"/>
  <c r="M24" i="4" l="1"/>
  <c r="H25" i="2" s="1"/>
  <c r="G25" i="2"/>
  <c r="M52" i="1" l="1"/>
  <c r="N52" i="1" s="1"/>
  <c r="O52" i="1" s="1"/>
  <c r="P52" i="1" s="1"/>
  <c r="Q52" i="1" s="1"/>
  <c r="M70" i="1"/>
  <c r="N70" i="1" s="1"/>
  <c r="O70" i="1" s="1"/>
  <c r="P70" i="1" s="1"/>
  <c r="Q70" i="1" s="1"/>
  <c r="M61" i="1"/>
  <c r="N61" i="1" s="1"/>
  <c r="O61" i="1" s="1"/>
  <c r="P61" i="1" s="1"/>
  <c r="Q61" i="1" s="1"/>
  <c r="K72" i="1"/>
  <c r="K73" i="1" s="1"/>
  <c r="K74" i="1" s="1"/>
  <c r="K75" i="1" s="1"/>
  <c r="K76" i="1" s="1"/>
  <c r="K63" i="1"/>
  <c r="K64" i="1" s="1"/>
  <c r="K65" i="1" s="1"/>
  <c r="K66" i="1" s="1"/>
  <c r="K67" i="1" s="1"/>
  <c r="K54" i="1"/>
  <c r="K55" i="1" s="1"/>
  <c r="K56" i="1" s="1"/>
  <c r="K57" i="1" s="1"/>
  <c r="K58" i="1" s="1"/>
  <c r="K45" i="1"/>
  <c r="K46" i="1" s="1"/>
  <c r="K47" i="1" s="1"/>
  <c r="K48" i="1" s="1"/>
  <c r="K49" i="1" s="1"/>
  <c r="M43" i="1"/>
  <c r="N43" i="1" s="1"/>
  <c r="O43" i="1" s="1"/>
  <c r="P43" i="1" s="1"/>
  <c r="Q43" i="1" s="1"/>
  <c r="E76" i="2" l="1"/>
  <c r="E74" i="2"/>
  <c r="D76" i="2"/>
  <c r="D75" i="2"/>
  <c r="H75" i="2" s="1"/>
  <c r="D74" i="2"/>
  <c r="H57" i="2"/>
  <c r="E29" i="2"/>
  <c r="F29" i="2"/>
  <c r="G29" i="2"/>
  <c r="H29" i="2"/>
  <c r="D29" i="2"/>
  <c r="F10" i="2"/>
  <c r="M25" i="1"/>
  <c r="N25" i="1"/>
  <c r="O25" i="1"/>
  <c r="P25" i="1"/>
  <c r="Q25" i="1"/>
  <c r="I33" i="1"/>
  <c r="I30" i="1"/>
  <c r="I19" i="1"/>
  <c r="I14" i="1"/>
  <c r="G40" i="1"/>
  <c r="G39" i="1"/>
  <c r="G47" i="1" s="1"/>
  <c r="G32" i="1"/>
  <c r="F48" i="2" s="1"/>
  <c r="D55" i="1"/>
  <c r="G21" i="1" s="1"/>
  <c r="H48" i="2" l="1"/>
  <c r="D77" i="2"/>
  <c r="E77" i="2"/>
  <c r="H55" i="2"/>
  <c r="H56" i="2"/>
  <c r="H62" i="2"/>
  <c r="H58" i="2"/>
  <c r="H59" i="2"/>
  <c r="H10" i="2"/>
  <c r="G10" i="2"/>
  <c r="E10" i="2"/>
  <c r="G46" i="1"/>
  <c r="G12" i="1"/>
  <c r="G41" i="1"/>
  <c r="D49" i="1" l="1"/>
  <c r="D44" i="1"/>
  <c r="D45" i="1"/>
  <c r="D35" i="1"/>
  <c r="D34" i="1"/>
  <c r="L13" i="8"/>
  <c r="L7" i="8"/>
  <c r="L9" i="8" s="1"/>
  <c r="G13" i="8"/>
  <c r="G7" i="8"/>
  <c r="G9" i="8" s="1"/>
  <c r="E7" i="2"/>
  <c r="F7" i="2" s="1"/>
  <c r="G7" i="2" s="1"/>
  <c r="H7" i="2" s="1"/>
  <c r="I203" i="3"/>
  <c r="D65" i="1" s="1"/>
  <c r="J203" i="3"/>
  <c r="I206" i="3"/>
  <c r="D66" i="1" s="1"/>
  <c r="I234" i="4"/>
  <c r="J234" i="4" s="1"/>
  <c r="K234" i="4" s="1"/>
  <c r="L234" i="4" s="1"/>
  <c r="M234" i="4" s="1"/>
  <c r="J111" i="4"/>
  <c r="K111" i="4"/>
  <c r="L111" i="4"/>
  <c r="M111" i="4"/>
  <c r="I111" i="4"/>
  <c r="I106" i="3"/>
  <c r="J101" i="3"/>
  <c r="K101" i="3"/>
  <c r="L101" i="3"/>
  <c r="M101" i="3"/>
  <c r="I101" i="3"/>
  <c r="J100" i="3"/>
  <c r="K100" i="3"/>
  <c r="L100" i="3"/>
  <c r="M100" i="3"/>
  <c r="I100" i="3"/>
  <c r="J188" i="3"/>
  <c r="K188" i="3"/>
  <c r="L188" i="3"/>
  <c r="M188" i="3"/>
  <c r="I188" i="3"/>
  <c r="I186" i="3"/>
  <c r="I198" i="3"/>
  <c r="I201" i="3" s="1"/>
  <c r="I67" i="3" s="1"/>
  <c r="I192" i="3"/>
  <c r="I195" i="3" s="1"/>
  <c r="J192" i="3" s="1"/>
  <c r="J195" i="3" s="1"/>
  <c r="K192" i="3" s="1"/>
  <c r="K195" i="3" s="1"/>
  <c r="L192" i="3" s="1"/>
  <c r="L195" i="3" s="1"/>
  <c r="M192" i="3" s="1"/>
  <c r="M195" i="3" s="1"/>
  <c r="M65" i="3" s="1"/>
  <c r="I229" i="3"/>
  <c r="I72" i="3" s="1"/>
  <c r="I74" i="3"/>
  <c r="J74" i="3" s="1"/>
  <c r="K74" i="3" s="1"/>
  <c r="L74" i="3" s="1"/>
  <c r="M74" i="3" s="1"/>
  <c r="J216" i="4"/>
  <c r="K216" i="4"/>
  <c r="L216" i="4"/>
  <c r="M216" i="4"/>
  <c r="I216" i="4"/>
  <c r="I214" i="4"/>
  <c r="H230" i="3"/>
  <c r="E35" i="3"/>
  <c r="F35" i="3"/>
  <c r="G35" i="3"/>
  <c r="H35" i="3"/>
  <c r="D35" i="3"/>
  <c r="H215" i="3"/>
  <c r="I213" i="3" s="1"/>
  <c r="E179" i="3"/>
  <c r="F179" i="3"/>
  <c r="G179" i="3"/>
  <c r="H176" i="3" s="1"/>
  <c r="H179" i="3"/>
  <c r="I176" i="3" s="1"/>
  <c r="D179" i="3"/>
  <c r="E176" i="3" s="1"/>
  <c r="H158" i="3"/>
  <c r="D160" i="3" s="1"/>
  <c r="G158" i="3"/>
  <c r="E152" i="3"/>
  <c r="F149" i="3" s="1"/>
  <c r="F152" i="3"/>
  <c r="G149" i="3" s="1"/>
  <c r="G152" i="3"/>
  <c r="H149" i="3" s="1"/>
  <c r="H152" i="3"/>
  <c r="I149" i="3" s="1"/>
  <c r="D152" i="3"/>
  <c r="E149" i="3" s="1"/>
  <c r="F131" i="3"/>
  <c r="G131" i="3"/>
  <c r="H131" i="3"/>
  <c r="E131" i="3"/>
  <c r="F121" i="3"/>
  <c r="G121" i="3"/>
  <c r="H121" i="3"/>
  <c r="E121" i="3"/>
  <c r="F160" i="4"/>
  <c r="G160" i="4"/>
  <c r="H160" i="4"/>
  <c r="E160" i="4"/>
  <c r="F150" i="4"/>
  <c r="G150" i="4"/>
  <c r="H150" i="4"/>
  <c r="E150" i="4"/>
  <c r="F142" i="3"/>
  <c r="G142" i="3"/>
  <c r="H142" i="3"/>
  <c r="I142" i="3" s="1"/>
  <c r="J142" i="3" s="1"/>
  <c r="K142" i="3" s="1"/>
  <c r="L142" i="3" s="1"/>
  <c r="M142" i="3" s="1"/>
  <c r="E142" i="3"/>
  <c r="E137" i="3"/>
  <c r="F135" i="3" s="1"/>
  <c r="F137" i="3"/>
  <c r="G135" i="3" s="1"/>
  <c r="G137" i="3"/>
  <c r="H135" i="3" s="1"/>
  <c r="H137" i="3"/>
  <c r="I135" i="3" s="1"/>
  <c r="D137" i="3"/>
  <c r="E135" i="3" s="1"/>
  <c r="F132" i="3"/>
  <c r="G132" i="3"/>
  <c r="H132" i="3"/>
  <c r="I132" i="3" s="1"/>
  <c r="J132" i="3" s="1"/>
  <c r="K132" i="3" s="1"/>
  <c r="L132" i="3" s="1"/>
  <c r="M132" i="3" s="1"/>
  <c r="E132" i="3"/>
  <c r="E127" i="3"/>
  <c r="F125" i="3" s="1"/>
  <c r="F127" i="3"/>
  <c r="G125" i="3" s="1"/>
  <c r="G127" i="3"/>
  <c r="H125" i="3" s="1"/>
  <c r="H127" i="3"/>
  <c r="I125" i="3" s="1"/>
  <c r="D127" i="3"/>
  <c r="E125" i="3" s="1"/>
  <c r="F122" i="3"/>
  <c r="G122" i="3"/>
  <c r="H122" i="3"/>
  <c r="I122" i="3" s="1"/>
  <c r="J122" i="3" s="1"/>
  <c r="K122" i="3" s="1"/>
  <c r="L122" i="3" s="1"/>
  <c r="M122" i="3" s="1"/>
  <c r="E122" i="3"/>
  <c r="E117" i="3"/>
  <c r="F117" i="3"/>
  <c r="G115" i="3" s="1"/>
  <c r="G117" i="3"/>
  <c r="H115" i="3" s="1"/>
  <c r="H117" i="3"/>
  <c r="I115" i="3" s="1"/>
  <c r="D117" i="3"/>
  <c r="E115" i="3" s="1"/>
  <c r="J15" i="3"/>
  <c r="J14" i="3" s="1"/>
  <c r="K15" i="3"/>
  <c r="K14" i="3" s="1"/>
  <c r="L15" i="3"/>
  <c r="L14" i="3" s="1"/>
  <c r="M15" i="3"/>
  <c r="M14" i="3" s="1"/>
  <c r="I15" i="3"/>
  <c r="E46" i="3"/>
  <c r="F46" i="3"/>
  <c r="G46" i="3"/>
  <c r="H46" i="3"/>
  <c r="J46" i="3" s="1"/>
  <c r="K46" i="3" s="1"/>
  <c r="L46" i="3" s="1"/>
  <c r="M46" i="3" s="1"/>
  <c r="M18" i="3" s="1"/>
  <c r="D46" i="3"/>
  <c r="E45" i="3"/>
  <c r="F45" i="3"/>
  <c r="G45" i="3"/>
  <c r="H45" i="3"/>
  <c r="J45" i="3" s="1"/>
  <c r="K45" i="3" s="1"/>
  <c r="L45" i="3" s="1"/>
  <c r="M45" i="3" s="1"/>
  <c r="M17" i="3" s="1"/>
  <c r="D45" i="3"/>
  <c r="E44" i="3"/>
  <c r="F44" i="3"/>
  <c r="G44" i="3"/>
  <c r="H44" i="3"/>
  <c r="J44" i="3" s="1"/>
  <c r="K44" i="3" s="1"/>
  <c r="L44" i="3" s="1"/>
  <c r="M44" i="3" s="1"/>
  <c r="M16" i="3" s="1"/>
  <c r="D44" i="3"/>
  <c r="F41" i="3"/>
  <c r="F141" i="3" s="1"/>
  <c r="G41" i="3"/>
  <c r="G141" i="3" s="1"/>
  <c r="H41" i="3"/>
  <c r="H141" i="3" s="1"/>
  <c r="I41" i="3"/>
  <c r="I141" i="3" s="1"/>
  <c r="J41" i="3"/>
  <c r="J141" i="3" s="1"/>
  <c r="K41" i="3"/>
  <c r="K141" i="3" s="1"/>
  <c r="L41" i="3"/>
  <c r="L141" i="3" s="1"/>
  <c r="M41" i="3"/>
  <c r="M141" i="3" s="1"/>
  <c r="E41" i="3"/>
  <c r="E141" i="3" s="1"/>
  <c r="E220" i="3"/>
  <c r="F220" i="3" s="1"/>
  <c r="G220" i="3" s="1"/>
  <c r="H220" i="3" s="1"/>
  <c r="I220" i="3" s="1"/>
  <c r="J220" i="3" s="1"/>
  <c r="K220" i="3" s="1"/>
  <c r="L220" i="3" s="1"/>
  <c r="M220" i="3" s="1"/>
  <c r="E211" i="3"/>
  <c r="F211" i="3" s="1"/>
  <c r="G211" i="3" s="1"/>
  <c r="H211" i="3" s="1"/>
  <c r="I211" i="3" s="1"/>
  <c r="J211" i="3" s="1"/>
  <c r="K211" i="3" s="1"/>
  <c r="L211" i="3" s="1"/>
  <c r="M211" i="3" s="1"/>
  <c r="E184" i="3"/>
  <c r="F184" i="3" s="1"/>
  <c r="G184" i="3" s="1"/>
  <c r="H184" i="3" s="1"/>
  <c r="I184" i="3" s="1"/>
  <c r="J184" i="3" s="1"/>
  <c r="K184" i="3" s="1"/>
  <c r="L184" i="3" s="1"/>
  <c r="M184" i="3" s="1"/>
  <c r="E174" i="3"/>
  <c r="F174" i="3" s="1"/>
  <c r="G174" i="3" s="1"/>
  <c r="H174" i="3" s="1"/>
  <c r="I174" i="3" s="1"/>
  <c r="J174" i="3" s="1"/>
  <c r="K174" i="3" s="1"/>
  <c r="L174" i="3" s="1"/>
  <c r="M174" i="3" s="1"/>
  <c r="E147" i="3"/>
  <c r="F147" i="3" s="1"/>
  <c r="G147" i="3" s="1"/>
  <c r="H147" i="3" s="1"/>
  <c r="I147" i="3" s="1"/>
  <c r="J147" i="3" s="1"/>
  <c r="K147" i="3" s="1"/>
  <c r="L147" i="3" s="1"/>
  <c r="M147" i="3" s="1"/>
  <c r="E112" i="3"/>
  <c r="F112" i="3" s="1"/>
  <c r="G112" i="3" s="1"/>
  <c r="H112" i="3" s="1"/>
  <c r="I112" i="3" s="1"/>
  <c r="J112" i="3" s="1"/>
  <c r="K112" i="3" s="1"/>
  <c r="L112" i="3" s="1"/>
  <c r="M112" i="3" s="1"/>
  <c r="J22" i="4"/>
  <c r="K22" i="4"/>
  <c r="L22" i="4"/>
  <c r="M22" i="4"/>
  <c r="I22" i="4"/>
  <c r="I220" i="4"/>
  <c r="I221" i="4" s="1"/>
  <c r="I226" i="4"/>
  <c r="I229" i="4" s="1"/>
  <c r="I115" i="4"/>
  <c r="I84" i="4"/>
  <c r="J84" i="4" s="1"/>
  <c r="K84" i="4" s="1"/>
  <c r="L84" i="4" s="1"/>
  <c r="M84" i="4" s="1"/>
  <c r="I82" i="4"/>
  <c r="J82" i="4" s="1"/>
  <c r="K82" i="4" s="1"/>
  <c r="L82" i="4" s="1"/>
  <c r="M82" i="4" s="1"/>
  <c r="I80" i="4"/>
  <c r="J80" i="4" s="1"/>
  <c r="K80" i="4" s="1"/>
  <c r="L80" i="4" s="1"/>
  <c r="M80" i="4" s="1"/>
  <c r="I77" i="4"/>
  <c r="J77" i="4" s="1"/>
  <c r="K77" i="4" s="1"/>
  <c r="L77" i="4" s="1"/>
  <c r="M77" i="4" s="1"/>
  <c r="I73" i="4"/>
  <c r="J73" i="4" s="1"/>
  <c r="K73" i="4" s="1"/>
  <c r="L73" i="4" s="1"/>
  <c r="M73" i="4" s="1"/>
  <c r="I63" i="4"/>
  <c r="J63" i="4" s="1"/>
  <c r="K63" i="4" s="1"/>
  <c r="L63" i="4" s="1"/>
  <c r="M63" i="4" s="1"/>
  <c r="H243" i="4"/>
  <c r="I241" i="4" s="1"/>
  <c r="E207" i="4"/>
  <c r="F204" i="4" s="1"/>
  <c r="F207" i="4"/>
  <c r="G207" i="4"/>
  <c r="D207" i="4"/>
  <c r="E204" i="4" s="1"/>
  <c r="H186" i="4"/>
  <c r="G186" i="4"/>
  <c r="E181" i="4"/>
  <c r="F178" i="4" s="1"/>
  <c r="F181" i="4"/>
  <c r="G178" i="4" s="1"/>
  <c r="G181" i="4"/>
  <c r="H178" i="4" s="1"/>
  <c r="D181" i="4"/>
  <c r="E178" i="4" s="1"/>
  <c r="F171" i="4"/>
  <c r="G171" i="4"/>
  <c r="H171" i="4"/>
  <c r="I171" i="4" s="1"/>
  <c r="J171" i="4" s="1"/>
  <c r="K171" i="4" s="1"/>
  <c r="L171" i="4" s="1"/>
  <c r="M171" i="4" s="1"/>
  <c r="E171" i="4"/>
  <c r="E166" i="4"/>
  <c r="F164" i="4" s="1"/>
  <c r="F166" i="4"/>
  <c r="G164" i="4" s="1"/>
  <c r="G166" i="4"/>
  <c r="H164" i="4" s="1"/>
  <c r="H166" i="4"/>
  <c r="D166" i="4"/>
  <c r="E164" i="4" s="1"/>
  <c r="F161" i="4"/>
  <c r="G161" i="4"/>
  <c r="H161" i="4"/>
  <c r="I161" i="4" s="1"/>
  <c r="J161" i="4" s="1"/>
  <c r="K161" i="4" s="1"/>
  <c r="L161" i="4" s="1"/>
  <c r="M161" i="4" s="1"/>
  <c r="E161" i="4"/>
  <c r="E156" i="4"/>
  <c r="F154" i="4" s="1"/>
  <c r="F156" i="4"/>
  <c r="G154" i="4" s="1"/>
  <c r="G156" i="4"/>
  <c r="H156" i="4"/>
  <c r="D156" i="4"/>
  <c r="E154" i="4" s="1"/>
  <c r="F151" i="4"/>
  <c r="G151" i="4"/>
  <c r="H151" i="4"/>
  <c r="I151" i="4" s="1"/>
  <c r="J151" i="4" s="1"/>
  <c r="K151" i="4" s="1"/>
  <c r="L151" i="4" s="1"/>
  <c r="M151" i="4" s="1"/>
  <c r="E151" i="4"/>
  <c r="E146" i="4"/>
  <c r="F146" i="4"/>
  <c r="G146" i="4"/>
  <c r="H144" i="4" s="1"/>
  <c r="H146" i="4"/>
  <c r="D146" i="4"/>
  <c r="E144" i="4" s="1"/>
  <c r="F141" i="4"/>
  <c r="G141" i="4"/>
  <c r="H141" i="4"/>
  <c r="I141" i="4" s="1"/>
  <c r="J141" i="4" s="1"/>
  <c r="K141" i="4" s="1"/>
  <c r="L141" i="4" s="1"/>
  <c r="M141" i="4" s="1"/>
  <c r="F131" i="4"/>
  <c r="G131" i="4"/>
  <c r="H131" i="4"/>
  <c r="I131" i="4" s="1"/>
  <c r="J131" i="4" s="1"/>
  <c r="K131" i="4" s="1"/>
  <c r="L131" i="4" s="1"/>
  <c r="M131" i="4" s="1"/>
  <c r="E131" i="4"/>
  <c r="E141" i="4"/>
  <c r="E136" i="4"/>
  <c r="F134" i="4" s="1"/>
  <c r="F136" i="4"/>
  <c r="G134" i="4" s="1"/>
  <c r="G136" i="4"/>
  <c r="H134" i="4" s="1"/>
  <c r="H136" i="4"/>
  <c r="I134" i="4" s="1"/>
  <c r="D136" i="4"/>
  <c r="E134" i="4" s="1"/>
  <c r="E126" i="4"/>
  <c r="F126" i="4"/>
  <c r="G126" i="4"/>
  <c r="H126" i="4"/>
  <c r="D126" i="4"/>
  <c r="E124" i="4" s="1"/>
  <c r="E121" i="4"/>
  <c r="F121" i="4" s="1"/>
  <c r="G121" i="4" s="1"/>
  <c r="H121" i="4" s="1"/>
  <c r="I121" i="4" s="1"/>
  <c r="J121" i="4" s="1"/>
  <c r="K121" i="4" s="1"/>
  <c r="L121" i="4" s="1"/>
  <c r="M121" i="4" s="1"/>
  <c r="I30" i="4"/>
  <c r="J30" i="4" s="1"/>
  <c r="K30" i="4" s="1"/>
  <c r="L30" i="4" s="1"/>
  <c r="M30" i="4" s="1"/>
  <c r="I29" i="4"/>
  <c r="J15" i="4"/>
  <c r="J14" i="4" s="1"/>
  <c r="K15" i="4"/>
  <c r="K14" i="4" s="1"/>
  <c r="L15" i="4"/>
  <c r="L14" i="4" s="1"/>
  <c r="M15" i="4"/>
  <c r="M14" i="4" s="1"/>
  <c r="I15" i="4"/>
  <c r="I14" i="4" s="1"/>
  <c r="H207" i="4"/>
  <c r="I204" i="4" s="1"/>
  <c r="H181" i="4"/>
  <c r="I178" i="4" s="1"/>
  <c r="E248" i="4"/>
  <c r="F248" i="4" s="1"/>
  <c r="G248" i="4" s="1"/>
  <c r="H248" i="4" s="1"/>
  <c r="I248" i="4" s="1"/>
  <c r="J248" i="4" s="1"/>
  <c r="K248" i="4" s="1"/>
  <c r="L248" i="4" s="1"/>
  <c r="M248" i="4" s="1"/>
  <c r="E239" i="4"/>
  <c r="F239" i="4" s="1"/>
  <c r="G239" i="4" s="1"/>
  <c r="H239" i="4" s="1"/>
  <c r="I239" i="4" s="1"/>
  <c r="J239" i="4" s="1"/>
  <c r="K239" i="4" s="1"/>
  <c r="L239" i="4" s="1"/>
  <c r="M239" i="4" s="1"/>
  <c r="E212" i="4"/>
  <c r="F212" i="4" s="1"/>
  <c r="G212" i="4" s="1"/>
  <c r="H212" i="4" s="1"/>
  <c r="I212" i="4" s="1"/>
  <c r="J212" i="4" s="1"/>
  <c r="K212" i="4" s="1"/>
  <c r="L212" i="4" s="1"/>
  <c r="M212" i="4" s="1"/>
  <c r="E202" i="4"/>
  <c r="F202" i="4" s="1"/>
  <c r="G202" i="4" s="1"/>
  <c r="H202" i="4" s="1"/>
  <c r="I202" i="4" s="1"/>
  <c r="J202" i="4" s="1"/>
  <c r="K202" i="4" s="1"/>
  <c r="L202" i="4" s="1"/>
  <c r="M202" i="4" s="1"/>
  <c r="E176" i="4"/>
  <c r="F176" i="4" s="1"/>
  <c r="G176" i="4" s="1"/>
  <c r="H176" i="4" s="1"/>
  <c r="I176" i="4" s="1"/>
  <c r="J176" i="4" s="1"/>
  <c r="K176" i="4" s="1"/>
  <c r="L176" i="4" s="1"/>
  <c r="M176" i="4" s="1"/>
  <c r="E50" i="4"/>
  <c r="F50" i="4"/>
  <c r="G50" i="4"/>
  <c r="H50" i="4"/>
  <c r="I50" i="4" s="1"/>
  <c r="I19" i="4" s="1"/>
  <c r="D50" i="4"/>
  <c r="E49" i="4"/>
  <c r="F49" i="4"/>
  <c r="G49" i="4"/>
  <c r="H49" i="4"/>
  <c r="D49" i="4"/>
  <c r="E48" i="4"/>
  <c r="F48" i="4"/>
  <c r="G48" i="4"/>
  <c r="H48" i="4"/>
  <c r="I48" i="4" s="1"/>
  <c r="D48" i="4"/>
  <c r="E47" i="4"/>
  <c r="F47" i="4"/>
  <c r="G47" i="4"/>
  <c r="H47" i="4"/>
  <c r="D47" i="4"/>
  <c r="I44" i="4"/>
  <c r="J44" i="4"/>
  <c r="J140" i="4" s="1"/>
  <c r="K44" i="4"/>
  <c r="K140" i="4" s="1"/>
  <c r="L44" i="4"/>
  <c r="L140" i="4" s="1"/>
  <c r="M44" i="4"/>
  <c r="M140" i="4" s="1"/>
  <c r="F44" i="4"/>
  <c r="F130" i="4" s="1"/>
  <c r="G44" i="4"/>
  <c r="G140" i="4" s="1"/>
  <c r="H44" i="4"/>
  <c r="H130" i="4" s="1"/>
  <c r="E44" i="4"/>
  <c r="E140" i="4" s="1"/>
  <c r="D25" i="1"/>
  <c r="I65" i="3" l="1"/>
  <c r="I21" i="3" s="1"/>
  <c r="E12" i="2"/>
  <c r="J206" i="3"/>
  <c r="K206" i="3" s="1"/>
  <c r="L206" i="3" s="1"/>
  <c r="M206" i="3" s="1"/>
  <c r="K150" i="4"/>
  <c r="J29" i="4"/>
  <c r="D30" i="2"/>
  <c r="I47" i="4"/>
  <c r="I16" i="4" s="1"/>
  <c r="I18" i="4"/>
  <c r="I49" i="4"/>
  <c r="M150" i="4"/>
  <c r="I150" i="4"/>
  <c r="G12" i="2"/>
  <c r="J191" i="4"/>
  <c r="K191" i="4"/>
  <c r="L191" i="4"/>
  <c r="M191" i="4"/>
  <c r="I191" i="4"/>
  <c r="K192" i="4"/>
  <c r="G33" i="1"/>
  <c r="G34" i="1" s="1"/>
  <c r="G35" i="1"/>
  <c r="G42" i="1"/>
  <c r="G14" i="8"/>
  <c r="G15" i="8" s="1"/>
  <c r="G16" i="8" s="1"/>
  <c r="G31" i="8" s="1"/>
  <c r="L14" i="8"/>
  <c r="L15" i="8" s="1"/>
  <c r="L16" i="8" s="1"/>
  <c r="L31" i="8" s="1"/>
  <c r="K203" i="3"/>
  <c r="L150" i="4"/>
  <c r="I231" i="4"/>
  <c r="K65" i="3"/>
  <c r="I68" i="3"/>
  <c r="L65" i="3"/>
  <c r="J198" i="3"/>
  <c r="J201" i="3" s="1"/>
  <c r="J65" i="3"/>
  <c r="I110" i="4"/>
  <c r="I112" i="4" s="1"/>
  <c r="I102" i="3"/>
  <c r="I103" i="3" s="1"/>
  <c r="I66" i="3"/>
  <c r="J229" i="3"/>
  <c r="I56" i="3"/>
  <c r="J56" i="3" s="1"/>
  <c r="I59" i="3"/>
  <c r="E126" i="3"/>
  <c r="K131" i="3"/>
  <c r="G136" i="3"/>
  <c r="I37" i="3"/>
  <c r="I86" i="3" s="1"/>
  <c r="H116" i="3"/>
  <c r="H136" i="3"/>
  <c r="I223" i="4"/>
  <c r="I71" i="4" s="1"/>
  <c r="J150" i="4"/>
  <c r="M160" i="4"/>
  <c r="L160" i="4"/>
  <c r="K160" i="4"/>
  <c r="J160" i="4"/>
  <c r="I160" i="4"/>
  <c r="I156" i="4" s="1"/>
  <c r="I69" i="4" s="1"/>
  <c r="I100" i="4" s="1"/>
  <c r="F126" i="3"/>
  <c r="H177" i="3"/>
  <c r="G116" i="3"/>
  <c r="E177" i="3"/>
  <c r="M121" i="3"/>
  <c r="J163" i="3"/>
  <c r="K163" i="3"/>
  <c r="I163" i="3"/>
  <c r="L163" i="3"/>
  <c r="M163" i="3"/>
  <c r="F176" i="3"/>
  <c r="F177" i="3" s="1"/>
  <c r="E116" i="3"/>
  <c r="I179" i="3"/>
  <c r="G176" i="3"/>
  <c r="G177" i="3" s="1"/>
  <c r="I137" i="3"/>
  <c r="I178" i="3"/>
  <c r="J178" i="3" s="1"/>
  <c r="K178" i="3" s="1"/>
  <c r="L178" i="3" s="1"/>
  <c r="M178" i="3" s="1"/>
  <c r="F136" i="3"/>
  <c r="E136" i="3"/>
  <c r="L121" i="3"/>
  <c r="M131" i="3"/>
  <c r="F115" i="3"/>
  <c r="F116" i="3" s="1"/>
  <c r="L131" i="3"/>
  <c r="H126" i="3"/>
  <c r="G126" i="3"/>
  <c r="K121" i="3"/>
  <c r="I150" i="3"/>
  <c r="I97" i="3" s="1"/>
  <c r="I98" i="3" s="1"/>
  <c r="M19" i="3"/>
  <c r="L16" i="3"/>
  <c r="L18" i="3"/>
  <c r="K18" i="3"/>
  <c r="J18" i="3"/>
  <c r="I18" i="3"/>
  <c r="K16" i="3"/>
  <c r="J16" i="3"/>
  <c r="L17" i="3"/>
  <c r="K17" i="3"/>
  <c r="I14" i="3"/>
  <c r="J17" i="3"/>
  <c r="I17" i="3"/>
  <c r="I16" i="3"/>
  <c r="J226" i="4"/>
  <c r="I72" i="4"/>
  <c r="I65" i="4"/>
  <c r="I74" i="4"/>
  <c r="J74" i="4" s="1"/>
  <c r="J103" i="4" s="1"/>
  <c r="E165" i="4"/>
  <c r="E205" i="4"/>
  <c r="F205" i="4"/>
  <c r="E179" i="4"/>
  <c r="G204" i="4"/>
  <c r="G205" i="4" s="1"/>
  <c r="F179" i="4"/>
  <c r="I207" i="4"/>
  <c r="I64" i="4" s="1"/>
  <c r="H204" i="4"/>
  <c r="H205" i="4" s="1"/>
  <c r="H179" i="4"/>
  <c r="I179" i="4" s="1"/>
  <c r="I106" i="4" s="1"/>
  <c r="G179" i="4"/>
  <c r="I170" i="4"/>
  <c r="I166" i="4" s="1"/>
  <c r="I70" i="4" s="1"/>
  <c r="I101" i="4" s="1"/>
  <c r="G155" i="4"/>
  <c r="H165" i="4"/>
  <c r="J170" i="4"/>
  <c r="I164" i="4"/>
  <c r="G170" i="4"/>
  <c r="F155" i="4"/>
  <c r="E170" i="4"/>
  <c r="E145" i="4"/>
  <c r="I144" i="4"/>
  <c r="G144" i="4"/>
  <c r="G145" i="4" s="1"/>
  <c r="G165" i="4"/>
  <c r="F144" i="4"/>
  <c r="F145" i="4" s="1"/>
  <c r="H154" i="4"/>
  <c r="H155" i="4" s="1"/>
  <c r="F165" i="4"/>
  <c r="E155" i="4"/>
  <c r="M170" i="4"/>
  <c r="L170" i="4"/>
  <c r="F170" i="4"/>
  <c r="I154" i="4"/>
  <c r="I146" i="4"/>
  <c r="I68" i="4" s="1"/>
  <c r="H145" i="4"/>
  <c r="K170" i="4"/>
  <c r="H170" i="4"/>
  <c r="H135" i="4"/>
  <c r="G135" i="4"/>
  <c r="F135" i="4"/>
  <c r="F140" i="4"/>
  <c r="E130" i="4"/>
  <c r="L130" i="4"/>
  <c r="J130" i="4"/>
  <c r="E135" i="4"/>
  <c r="M130" i="4"/>
  <c r="K130" i="4"/>
  <c r="I130" i="4"/>
  <c r="I126" i="4" s="1"/>
  <c r="I60" i="4" s="1"/>
  <c r="E125" i="4"/>
  <c r="G130" i="4"/>
  <c r="H124" i="4"/>
  <c r="H125" i="4" s="1"/>
  <c r="I124" i="4"/>
  <c r="G124" i="4"/>
  <c r="G125" i="4" s="1"/>
  <c r="F124" i="4"/>
  <c r="F125" i="4" s="1"/>
  <c r="I140" i="4"/>
  <c r="I136" i="4" s="1"/>
  <c r="I61" i="4" s="1"/>
  <c r="H140" i="4"/>
  <c r="I40" i="4"/>
  <c r="J49" i="4"/>
  <c r="J18" i="4" s="1"/>
  <c r="J47" i="4"/>
  <c r="J16" i="4" s="1"/>
  <c r="J50" i="4"/>
  <c r="J19" i="4" s="1"/>
  <c r="D32" i="1"/>
  <c r="D6" i="3"/>
  <c r="D6" i="4"/>
  <c r="F24" i="3"/>
  <c r="G24" i="3"/>
  <c r="H24" i="3"/>
  <c r="F19" i="3"/>
  <c r="G19" i="3"/>
  <c r="H19" i="3"/>
  <c r="F15" i="3"/>
  <c r="G15" i="3"/>
  <c r="G42" i="3" s="1"/>
  <c r="H15" i="3"/>
  <c r="H42" i="3" s="1"/>
  <c r="H75" i="3"/>
  <c r="H69" i="3"/>
  <c r="H60" i="3"/>
  <c r="F75" i="3"/>
  <c r="G75" i="3"/>
  <c r="F69" i="3"/>
  <c r="G69" i="3"/>
  <c r="F60" i="3"/>
  <c r="G60" i="3"/>
  <c r="E75" i="3"/>
  <c r="D75" i="3"/>
  <c r="E69" i="3"/>
  <c r="D69" i="3"/>
  <c r="E60" i="3"/>
  <c r="D60" i="3"/>
  <c r="E24" i="3"/>
  <c r="D24" i="3"/>
  <c r="E19" i="3"/>
  <c r="D19" i="3"/>
  <c r="E15" i="3"/>
  <c r="E42" i="3" s="1"/>
  <c r="D15" i="3"/>
  <c r="D42" i="3" s="1"/>
  <c r="E82" i="3"/>
  <c r="F82" i="3" s="1"/>
  <c r="G82" i="3" s="1"/>
  <c r="H82" i="3" s="1"/>
  <c r="I82" i="3" s="1"/>
  <c r="J82" i="3" s="1"/>
  <c r="K82" i="3" s="1"/>
  <c r="L82" i="3" s="1"/>
  <c r="M82" i="3" s="1"/>
  <c r="E53" i="3"/>
  <c r="F53" i="3" s="1"/>
  <c r="G53" i="3" s="1"/>
  <c r="H53" i="3" s="1"/>
  <c r="I53" i="3" s="1"/>
  <c r="J53" i="3" s="1"/>
  <c r="K53" i="3" s="1"/>
  <c r="L53" i="3" s="1"/>
  <c r="M53" i="3" s="1"/>
  <c r="E11" i="3"/>
  <c r="F11" i="3" s="1"/>
  <c r="G11" i="3" s="1"/>
  <c r="H11" i="3" s="1"/>
  <c r="I11" i="3" s="1"/>
  <c r="J11" i="3" s="1"/>
  <c r="K11" i="3" s="1"/>
  <c r="L11" i="3" s="1"/>
  <c r="M11" i="3" s="1"/>
  <c r="H83" i="4"/>
  <c r="H85" i="4" s="1"/>
  <c r="H75" i="4"/>
  <c r="H66" i="4"/>
  <c r="F83" i="4"/>
  <c r="F85" i="4" s="1"/>
  <c r="G83" i="4"/>
  <c r="G85" i="4" s="1"/>
  <c r="F75" i="4"/>
  <c r="G75" i="4"/>
  <c r="F66" i="4"/>
  <c r="G66" i="4"/>
  <c r="E92" i="4"/>
  <c r="F92" i="4" s="1"/>
  <c r="G92" i="4" s="1"/>
  <c r="H92" i="4" s="1"/>
  <c r="I92" i="4" s="1"/>
  <c r="J92" i="4" s="1"/>
  <c r="K92" i="4" s="1"/>
  <c r="L92" i="4" s="1"/>
  <c r="M92" i="4" s="1"/>
  <c r="E11" i="4"/>
  <c r="F11" i="4" s="1"/>
  <c r="G11" i="4" s="1"/>
  <c r="H11" i="4" s="1"/>
  <c r="I11" i="4" s="1"/>
  <c r="J11" i="4" s="1"/>
  <c r="K11" i="4" s="1"/>
  <c r="L11" i="4" s="1"/>
  <c r="M11" i="4" s="1"/>
  <c r="E83" i="4"/>
  <c r="E85" i="4" s="1"/>
  <c r="D83" i="4"/>
  <c r="D85" i="4" s="1"/>
  <c r="E75" i="4"/>
  <c r="D75" i="4"/>
  <c r="E66" i="4"/>
  <c r="D66" i="4"/>
  <c r="D25" i="4"/>
  <c r="E25" i="4"/>
  <c r="F25" i="4"/>
  <c r="G25" i="4"/>
  <c r="E20" i="4"/>
  <c r="D20" i="4"/>
  <c r="D15" i="4"/>
  <c r="D45" i="4" s="1"/>
  <c r="E15" i="4"/>
  <c r="E45" i="4" s="1"/>
  <c r="F15" i="4"/>
  <c r="F45" i="4" s="1"/>
  <c r="G15" i="4"/>
  <c r="G45" i="4" s="1"/>
  <c r="E57" i="4"/>
  <c r="F57" i="4" s="1"/>
  <c r="G57" i="4" s="1"/>
  <c r="H57" i="4" s="1"/>
  <c r="I57" i="4" s="1"/>
  <c r="J57" i="4" s="1"/>
  <c r="K57" i="4" s="1"/>
  <c r="L57" i="4" s="1"/>
  <c r="M57" i="4" s="1"/>
  <c r="H25" i="4"/>
  <c r="H15" i="4"/>
  <c r="H45" i="4" s="1"/>
  <c r="G20" i="4"/>
  <c r="H20" i="4"/>
  <c r="F20" i="4"/>
  <c r="M11" i="1"/>
  <c r="N11" i="1" s="1"/>
  <c r="O11" i="1" s="1"/>
  <c r="P11" i="1" s="1"/>
  <c r="Q11" i="1" s="1"/>
  <c r="E17" i="2" l="1"/>
  <c r="E18" i="2" s="1"/>
  <c r="H17" i="2"/>
  <c r="H18" i="2" s="1"/>
  <c r="F17" i="2"/>
  <c r="F18" i="2" s="1"/>
  <c r="D17" i="2"/>
  <c r="G17" i="2"/>
  <c r="G18" i="2" s="1"/>
  <c r="M20" i="3"/>
  <c r="E79" i="2"/>
  <c r="H226" i="3"/>
  <c r="J192" i="4"/>
  <c r="H12" i="2"/>
  <c r="M192" i="4"/>
  <c r="H254" i="4"/>
  <c r="D79" i="2"/>
  <c r="K29" i="4"/>
  <c r="E30" i="2"/>
  <c r="D12" i="2"/>
  <c r="L192" i="4"/>
  <c r="F12" i="2"/>
  <c r="K74" i="4"/>
  <c r="P26" i="1"/>
  <c r="M26" i="1"/>
  <c r="N26" i="1"/>
  <c r="O26" i="1"/>
  <c r="Q26" i="1"/>
  <c r="G54" i="1"/>
  <c r="D27" i="1"/>
  <c r="D28" i="1" s="1"/>
  <c r="L203" i="3"/>
  <c r="J67" i="3"/>
  <c r="J202" i="3" s="1"/>
  <c r="J21" i="3" s="1"/>
  <c r="K198" i="3"/>
  <c r="K201" i="3" s="1"/>
  <c r="J68" i="3"/>
  <c r="I94" i="3"/>
  <c r="I87" i="3"/>
  <c r="J87" i="3"/>
  <c r="K229" i="3"/>
  <c r="J102" i="3"/>
  <c r="J103" i="3" s="1"/>
  <c r="J72" i="3"/>
  <c r="K72" i="3" s="1"/>
  <c r="K56" i="3"/>
  <c r="K87" i="3" s="1"/>
  <c r="J66" i="3"/>
  <c r="I90" i="3"/>
  <c r="J59" i="3"/>
  <c r="J89" i="3" s="1"/>
  <c r="I89" i="3"/>
  <c r="J229" i="4"/>
  <c r="K226" i="4" s="1"/>
  <c r="J231" i="4"/>
  <c r="I230" i="3"/>
  <c r="I71" i="3"/>
  <c r="J135" i="3"/>
  <c r="I64" i="3"/>
  <c r="I93" i="3" s="1"/>
  <c r="J179" i="3"/>
  <c r="I57" i="3"/>
  <c r="J37" i="3"/>
  <c r="J86" i="3" s="1"/>
  <c r="J137" i="3"/>
  <c r="K135" i="3" s="1"/>
  <c r="I136" i="3"/>
  <c r="J220" i="4"/>
  <c r="I103" i="4"/>
  <c r="J150" i="3"/>
  <c r="J97" i="3" s="1"/>
  <c r="J98" i="3" s="1"/>
  <c r="I164" i="3"/>
  <c r="I169" i="3" s="1"/>
  <c r="K164" i="3"/>
  <c r="M164" i="3"/>
  <c r="L164" i="3"/>
  <c r="J164" i="3"/>
  <c r="I121" i="3"/>
  <c r="I117" i="3" s="1"/>
  <c r="I62" i="3" s="1"/>
  <c r="I131" i="3"/>
  <c r="I127" i="3" s="1"/>
  <c r="I63" i="3" s="1"/>
  <c r="I92" i="3" s="1"/>
  <c r="J131" i="3"/>
  <c r="J121" i="3"/>
  <c r="L19" i="3"/>
  <c r="I19" i="3"/>
  <c r="J19" i="3"/>
  <c r="K19" i="3"/>
  <c r="F20" i="3"/>
  <c r="F42" i="3"/>
  <c r="H77" i="3"/>
  <c r="G77" i="3"/>
  <c r="E77" i="3"/>
  <c r="H20" i="3"/>
  <c r="G20" i="3"/>
  <c r="F77" i="3"/>
  <c r="J65" i="4"/>
  <c r="I102" i="4"/>
  <c r="I75" i="4"/>
  <c r="I99" i="4"/>
  <c r="K103" i="4"/>
  <c r="L74" i="4"/>
  <c r="I98" i="4"/>
  <c r="I97" i="4"/>
  <c r="I79" i="4"/>
  <c r="I96" i="4"/>
  <c r="J40" i="4"/>
  <c r="J96" i="4" s="1"/>
  <c r="I257" i="4"/>
  <c r="I251" i="4" s="1"/>
  <c r="J179" i="4"/>
  <c r="I192" i="4"/>
  <c r="I197" i="4" s="1"/>
  <c r="I205" i="4"/>
  <c r="I107" i="4" s="1"/>
  <c r="J204" i="4"/>
  <c r="J207" i="4"/>
  <c r="J64" i="4" s="1"/>
  <c r="J164" i="4"/>
  <c r="I165" i="4"/>
  <c r="J166" i="4"/>
  <c r="I145" i="4"/>
  <c r="J146" i="4"/>
  <c r="J68" i="4" s="1"/>
  <c r="J144" i="4"/>
  <c r="J154" i="4"/>
  <c r="J156" i="4"/>
  <c r="J69" i="4" s="1"/>
  <c r="J100" i="4" s="1"/>
  <c r="I155" i="4"/>
  <c r="I125" i="4"/>
  <c r="J124" i="4"/>
  <c r="I135" i="4"/>
  <c r="J134" i="4"/>
  <c r="J136" i="4" s="1"/>
  <c r="J126" i="4"/>
  <c r="K47" i="4"/>
  <c r="K16" i="4" s="1"/>
  <c r="K49" i="4"/>
  <c r="K18" i="4" s="1"/>
  <c r="K50" i="4"/>
  <c r="K19" i="4" s="1"/>
  <c r="G87" i="4"/>
  <c r="H87" i="4"/>
  <c r="D20" i="3"/>
  <c r="D77" i="3"/>
  <c r="E20" i="3"/>
  <c r="E87" i="4"/>
  <c r="D87" i="4"/>
  <c r="F87" i="4"/>
  <c r="G21" i="4"/>
  <c r="D21" i="4"/>
  <c r="D39" i="4" s="1"/>
  <c r="H21" i="4"/>
  <c r="F21" i="4"/>
  <c r="E21" i="4"/>
  <c r="G20" i="1" l="1"/>
  <c r="H21" i="2"/>
  <c r="L20" i="3"/>
  <c r="G21" i="2"/>
  <c r="K20" i="3"/>
  <c r="F21" i="2"/>
  <c r="J20" i="3"/>
  <c r="E21" i="2"/>
  <c r="I20" i="3"/>
  <c r="J230" i="3"/>
  <c r="E80" i="2"/>
  <c r="E84" i="2"/>
  <c r="K37" i="3"/>
  <c r="K86" i="3" s="1"/>
  <c r="L29" i="4"/>
  <c r="F30" i="2"/>
  <c r="I108" i="4"/>
  <c r="D80" i="2"/>
  <c r="D84" i="2" a="1"/>
  <c r="D84" i="2" s="1"/>
  <c r="J106" i="4"/>
  <c r="L193" i="4"/>
  <c r="M193" i="4"/>
  <c r="K193" i="4"/>
  <c r="D39" i="1"/>
  <c r="G22" i="1" s="1"/>
  <c r="D51" i="1"/>
  <c r="G13" i="1" s="1"/>
  <c r="D50" i="1"/>
  <c r="G11" i="1" s="1"/>
  <c r="F60" i="2" s="1"/>
  <c r="D33" i="1"/>
  <c r="G19" i="1" s="1"/>
  <c r="D56" i="1"/>
  <c r="M23" i="1" s="1"/>
  <c r="H61" i="2"/>
  <c r="G55" i="1"/>
  <c r="G58" i="1"/>
  <c r="G14" i="1"/>
  <c r="F65" i="2" s="1"/>
  <c r="M203" i="3"/>
  <c r="I91" i="3"/>
  <c r="I69" i="3"/>
  <c r="K68" i="3"/>
  <c r="J94" i="3"/>
  <c r="I151" i="3"/>
  <c r="I35" i="3" s="1"/>
  <c r="I36" i="3" s="1"/>
  <c r="I38" i="3" s="1"/>
  <c r="I85" i="3"/>
  <c r="L198" i="3"/>
  <c r="L201" i="3" s="1"/>
  <c r="K67" i="3"/>
  <c r="K202" i="3" s="1"/>
  <c r="K21" i="3" s="1"/>
  <c r="J72" i="4"/>
  <c r="L56" i="3"/>
  <c r="L87" i="3"/>
  <c r="K59" i="3"/>
  <c r="K89" i="3" s="1"/>
  <c r="J90" i="3"/>
  <c r="K66" i="3"/>
  <c r="I88" i="3"/>
  <c r="L229" i="3"/>
  <c r="K102" i="3"/>
  <c r="K103" i="3" s="1"/>
  <c r="J221" i="4"/>
  <c r="J223" i="4" s="1"/>
  <c r="J110" i="4"/>
  <c r="J112" i="4" s="1"/>
  <c r="K229" i="4"/>
  <c r="K231" i="4" s="1"/>
  <c r="J71" i="3"/>
  <c r="K137" i="3"/>
  <c r="K136" i="3" s="1"/>
  <c r="J64" i="3"/>
  <c r="J93" i="3" s="1"/>
  <c r="K179" i="3"/>
  <c r="J57" i="3"/>
  <c r="J88" i="3" s="1"/>
  <c r="J136" i="3"/>
  <c r="G25" i="3"/>
  <c r="G27" i="3" s="1"/>
  <c r="G222" i="3" s="1"/>
  <c r="G36" i="3"/>
  <c r="G38" i="3" s="1"/>
  <c r="D25" i="3"/>
  <c r="D27" i="3" s="1"/>
  <c r="D222" i="3" s="1"/>
  <c r="D36" i="3"/>
  <c r="D38" i="3" s="1"/>
  <c r="H25" i="3"/>
  <c r="H27" i="3" s="1"/>
  <c r="H36" i="3"/>
  <c r="F25" i="3"/>
  <c r="F27" i="3" s="1"/>
  <c r="F222" i="3" s="1"/>
  <c r="F36" i="3"/>
  <c r="F38" i="3" s="1"/>
  <c r="E25" i="3"/>
  <c r="E27" i="3" s="1"/>
  <c r="E222" i="3" s="1"/>
  <c r="E36" i="3"/>
  <c r="E38" i="3" s="1"/>
  <c r="K150" i="3"/>
  <c r="K97" i="3" s="1"/>
  <c r="K98" i="3" s="1"/>
  <c r="L165" i="3"/>
  <c r="J165" i="3"/>
  <c r="J169" i="3" s="1"/>
  <c r="M165" i="3"/>
  <c r="K165" i="3"/>
  <c r="J127" i="3"/>
  <c r="J63" i="3" s="1"/>
  <c r="J92" i="3" s="1"/>
  <c r="J125" i="3"/>
  <c r="I126" i="3"/>
  <c r="J117" i="3"/>
  <c r="J115" i="3"/>
  <c r="I116" i="3"/>
  <c r="K65" i="4"/>
  <c r="L65" i="4" s="1"/>
  <c r="L102" i="4" s="1"/>
  <c r="J102" i="4"/>
  <c r="J99" i="4"/>
  <c r="J79" i="4"/>
  <c r="L103" i="4"/>
  <c r="M74" i="4"/>
  <c r="M103" i="4" s="1"/>
  <c r="K164" i="4"/>
  <c r="J70" i="4"/>
  <c r="J101" i="4" s="1"/>
  <c r="K124" i="4"/>
  <c r="K126" i="4" s="1"/>
  <c r="K60" i="4" s="1"/>
  <c r="J60" i="4"/>
  <c r="K136" i="4"/>
  <c r="K61" i="4" s="1"/>
  <c r="J61" i="4"/>
  <c r="I254" i="4"/>
  <c r="M20" i="1" s="1"/>
  <c r="I36" i="4"/>
  <c r="K40" i="4"/>
  <c r="K96" i="4" s="1"/>
  <c r="J257" i="4"/>
  <c r="I17" i="4"/>
  <c r="I95" i="4" s="1"/>
  <c r="I180" i="4"/>
  <c r="I181" i="4" s="1"/>
  <c r="K204" i="4"/>
  <c r="J205" i="4"/>
  <c r="J107" i="4" s="1"/>
  <c r="K207" i="4"/>
  <c r="K64" i="4" s="1"/>
  <c r="K179" i="4"/>
  <c r="J193" i="4"/>
  <c r="J197" i="4" s="1"/>
  <c r="J165" i="4"/>
  <c r="K166" i="4"/>
  <c r="K70" i="4" s="1"/>
  <c r="K156" i="4"/>
  <c r="K69" i="4" s="1"/>
  <c r="K100" i="4" s="1"/>
  <c r="K154" i="4"/>
  <c r="J155" i="4"/>
  <c r="K144" i="4"/>
  <c r="K146" i="4" s="1"/>
  <c r="K68" i="4" s="1"/>
  <c r="J145" i="4"/>
  <c r="J135" i="4"/>
  <c r="K134" i="4"/>
  <c r="J125" i="4"/>
  <c r="F26" i="4"/>
  <c r="F39" i="4"/>
  <c r="F41" i="4" s="1"/>
  <c r="E26" i="4"/>
  <c r="E39" i="4"/>
  <c r="E41" i="4" s="1"/>
  <c r="H26" i="4"/>
  <c r="H39" i="4"/>
  <c r="G26" i="4"/>
  <c r="G39" i="4"/>
  <c r="G41" i="4" s="1"/>
  <c r="D26" i="4"/>
  <c r="D41" i="4"/>
  <c r="L50" i="4"/>
  <c r="L19" i="4" s="1"/>
  <c r="L49" i="4"/>
  <c r="L18" i="4" s="1"/>
  <c r="L47" i="4"/>
  <c r="L16" i="4" s="1"/>
  <c r="D15" i="2" l="1"/>
  <c r="L37" i="3"/>
  <c r="L86" i="3" s="1"/>
  <c r="I152" i="3"/>
  <c r="I58" i="3" s="1"/>
  <c r="H38" i="3"/>
  <c r="E81" i="2"/>
  <c r="E82" i="2" s="1"/>
  <c r="H222" i="3"/>
  <c r="K230" i="3"/>
  <c r="J116" i="3"/>
  <c r="J108" i="4"/>
  <c r="K106" i="4"/>
  <c r="M194" i="4"/>
  <c r="L194" i="4"/>
  <c r="H41" i="4"/>
  <c r="D81" i="2"/>
  <c r="D83" i="2" s="1"/>
  <c r="M29" i="4"/>
  <c r="H30" i="2" s="1"/>
  <c r="G30" i="2"/>
  <c r="D63" i="1"/>
  <c r="G60" i="2" s="1"/>
  <c r="Q23" i="1"/>
  <c r="P23" i="1"/>
  <c r="O23" i="1"/>
  <c r="N23" i="1"/>
  <c r="I37" i="4"/>
  <c r="M198" i="3"/>
  <c r="M201" i="3" s="1"/>
  <c r="M67" i="3" s="1"/>
  <c r="L67" i="3"/>
  <c r="L202" i="3" s="1"/>
  <c r="L21" i="3" s="1"/>
  <c r="J151" i="3"/>
  <c r="J35" i="3" s="1"/>
  <c r="J36" i="3" s="1"/>
  <c r="J38" i="3" s="1"/>
  <c r="J85" i="3"/>
  <c r="L68" i="3"/>
  <c r="K94" i="3"/>
  <c r="M229" i="3"/>
  <c r="M102" i="3" s="1"/>
  <c r="M103" i="3" s="1"/>
  <c r="L102" i="3"/>
  <c r="L103" i="3" s="1"/>
  <c r="L66" i="3"/>
  <c r="K90" i="3"/>
  <c r="L59" i="3"/>
  <c r="L89" i="3"/>
  <c r="L72" i="3"/>
  <c r="M56" i="3"/>
  <c r="M87" i="3" s="1"/>
  <c r="K71" i="3"/>
  <c r="L71" i="3" s="1"/>
  <c r="G48" i="3"/>
  <c r="D48" i="3"/>
  <c r="H48" i="3"/>
  <c r="K220" i="4"/>
  <c r="J71" i="4"/>
  <c r="J75" i="4" s="1"/>
  <c r="K72" i="4"/>
  <c r="L226" i="4"/>
  <c r="K115" i="3"/>
  <c r="K117" i="3" s="1"/>
  <c r="K62" i="3" s="1"/>
  <c r="J62" i="3"/>
  <c r="L137" i="3"/>
  <c r="K64" i="3"/>
  <c r="K93" i="3" s="1"/>
  <c r="L135" i="3"/>
  <c r="L179" i="3"/>
  <c r="K57" i="3"/>
  <c r="K88" i="3" s="1"/>
  <c r="M65" i="4"/>
  <c r="M102" i="4" s="1"/>
  <c r="K102" i="4"/>
  <c r="F227" i="3"/>
  <c r="F224" i="3"/>
  <c r="E227" i="3"/>
  <c r="E224" i="3"/>
  <c r="L230" i="3"/>
  <c r="M37" i="3"/>
  <c r="D224" i="3"/>
  <c r="D227" i="3"/>
  <c r="E48" i="3"/>
  <c r="H224" i="3"/>
  <c r="H227" i="3"/>
  <c r="G224" i="3"/>
  <c r="G227" i="3"/>
  <c r="F48" i="3"/>
  <c r="L150" i="3"/>
  <c r="L97" i="3" s="1"/>
  <c r="L98" i="3" s="1"/>
  <c r="L166" i="3"/>
  <c r="K166" i="3"/>
  <c r="K169" i="3" s="1"/>
  <c r="M166" i="3"/>
  <c r="K127" i="3"/>
  <c r="K63" i="3" s="1"/>
  <c r="K92" i="3" s="1"/>
  <c r="K125" i="3"/>
  <c r="K126" i="3" s="1"/>
  <c r="J126" i="3"/>
  <c r="K101" i="4"/>
  <c r="K98" i="4"/>
  <c r="J98" i="4"/>
  <c r="K97" i="4"/>
  <c r="J97" i="4"/>
  <c r="J178" i="4"/>
  <c r="I62" i="4"/>
  <c r="K99" i="4"/>
  <c r="K79" i="4"/>
  <c r="L124" i="4"/>
  <c r="L126" i="4" s="1"/>
  <c r="L60" i="4" s="1"/>
  <c r="K125" i="4"/>
  <c r="L134" i="4"/>
  <c r="K135" i="4"/>
  <c r="L40" i="4"/>
  <c r="L96" i="4" s="1"/>
  <c r="K257" i="4"/>
  <c r="J180" i="4"/>
  <c r="J17" i="4"/>
  <c r="I20" i="4"/>
  <c r="L207" i="4"/>
  <c r="L64" i="4" s="1"/>
  <c r="K205" i="4"/>
  <c r="K107" i="4" s="1"/>
  <c r="L204" i="4"/>
  <c r="L179" i="4"/>
  <c r="K194" i="4"/>
  <c r="K197" i="4" s="1"/>
  <c r="L166" i="4"/>
  <c r="L70" i="4" s="1"/>
  <c r="L101" i="4" s="1"/>
  <c r="L164" i="4"/>
  <c r="K165" i="4"/>
  <c r="K145" i="4"/>
  <c r="L144" i="4"/>
  <c r="L146" i="4" s="1"/>
  <c r="L154" i="4"/>
  <c r="K155" i="4"/>
  <c r="L156" i="4"/>
  <c r="L69" i="4" s="1"/>
  <c r="L100" i="4" s="1"/>
  <c r="L136" i="4"/>
  <c r="L61" i="4" s="1"/>
  <c r="D28" i="4"/>
  <c r="D31" i="4" s="1"/>
  <c r="D250" i="4" s="1"/>
  <c r="D52" i="4"/>
  <c r="G28" i="4"/>
  <c r="G31" i="4" s="1"/>
  <c r="G250" i="4" s="1"/>
  <c r="G52" i="4"/>
  <c r="H28" i="4"/>
  <c r="H31" i="4" s="1"/>
  <c r="H52" i="4"/>
  <c r="E28" i="4"/>
  <c r="E31" i="4" s="1"/>
  <c r="E250" i="4" s="1"/>
  <c r="E52" i="4"/>
  <c r="F28" i="4"/>
  <c r="F31" i="4" s="1"/>
  <c r="F250" i="4" s="1"/>
  <c r="F52" i="4"/>
  <c r="M49" i="4"/>
  <c r="M18" i="4" s="1"/>
  <c r="M47" i="4"/>
  <c r="M16" i="4" s="1"/>
  <c r="M50" i="4"/>
  <c r="M19" i="4" s="1"/>
  <c r="E37" i="2" l="1"/>
  <c r="F37" i="2"/>
  <c r="G37" i="2"/>
  <c r="H37" i="2"/>
  <c r="D37" i="2"/>
  <c r="D36" i="2"/>
  <c r="D16" i="2"/>
  <c r="D18" i="2"/>
  <c r="D21" i="2"/>
  <c r="G23" i="1"/>
  <c r="E83" i="2"/>
  <c r="J149" i="3"/>
  <c r="M72" i="3"/>
  <c r="L106" i="4"/>
  <c r="M195" i="4"/>
  <c r="H250" i="4"/>
  <c r="H81" i="2"/>
  <c r="D82" i="2"/>
  <c r="K108" i="4"/>
  <c r="J95" i="4"/>
  <c r="J48" i="4"/>
  <c r="I21" i="4"/>
  <c r="I39" i="4" s="1"/>
  <c r="I41" i="4" s="1"/>
  <c r="G15" i="1"/>
  <c r="G45" i="2" s="1"/>
  <c r="M202" i="3"/>
  <c r="M21" i="3" s="1"/>
  <c r="J91" i="3"/>
  <c r="J69" i="3"/>
  <c r="K69" i="3"/>
  <c r="K151" i="3"/>
  <c r="K35" i="3" s="1"/>
  <c r="K85" i="3"/>
  <c r="M68" i="3"/>
  <c r="M94" i="3" s="1"/>
  <c r="L94" i="3"/>
  <c r="J152" i="3"/>
  <c r="J58" i="3" s="1"/>
  <c r="M59" i="3"/>
  <c r="M89" i="3" s="1"/>
  <c r="K91" i="3"/>
  <c r="M230" i="3"/>
  <c r="M86" i="3"/>
  <c r="M66" i="3"/>
  <c r="M90" i="3" s="1"/>
  <c r="L90" i="3"/>
  <c r="K116" i="3"/>
  <c r="L115" i="3"/>
  <c r="L117" i="3" s="1"/>
  <c r="L62" i="3" s="1"/>
  <c r="L229" i="4"/>
  <c r="L231" i="4" s="1"/>
  <c r="K110" i="4"/>
  <c r="K221" i="4"/>
  <c r="K223" i="4" s="1"/>
  <c r="M137" i="3"/>
  <c r="L64" i="3"/>
  <c r="L93" i="3" s="1"/>
  <c r="M135" i="3"/>
  <c r="L136" i="3"/>
  <c r="M71" i="3"/>
  <c r="K149" i="3"/>
  <c r="M179" i="3"/>
  <c r="M57" i="3" s="1"/>
  <c r="L57" i="3"/>
  <c r="J181" i="4"/>
  <c r="K178" i="4" s="1"/>
  <c r="M150" i="3"/>
  <c r="M167" i="3"/>
  <c r="L167" i="3"/>
  <c r="L169" i="3" s="1"/>
  <c r="L127" i="3"/>
  <c r="L63" i="3" s="1"/>
  <c r="L92" i="3" s="1"/>
  <c r="L125" i="3"/>
  <c r="M124" i="4"/>
  <c r="M126" i="4" s="1"/>
  <c r="L125" i="4"/>
  <c r="L79" i="4"/>
  <c r="M146" i="4"/>
  <c r="M68" i="4" s="1"/>
  <c r="L68" i="4"/>
  <c r="L98" i="4"/>
  <c r="L97" i="4"/>
  <c r="M40" i="4"/>
  <c r="L257" i="4"/>
  <c r="K17" i="4"/>
  <c r="K180" i="4"/>
  <c r="J20" i="4"/>
  <c r="M179" i="4"/>
  <c r="L195" i="4"/>
  <c r="L197" i="4" s="1"/>
  <c r="M207" i="4"/>
  <c r="M64" i="4" s="1"/>
  <c r="L205" i="4"/>
  <c r="L107" i="4" s="1"/>
  <c r="M204" i="4"/>
  <c r="M166" i="4"/>
  <c r="M70" i="4" s="1"/>
  <c r="M101" i="4" s="1"/>
  <c r="L165" i="4"/>
  <c r="M164" i="4"/>
  <c r="M156" i="4"/>
  <c r="M69" i="4" s="1"/>
  <c r="M100" i="4" s="1"/>
  <c r="M154" i="4"/>
  <c r="L155" i="4"/>
  <c r="L145" i="4"/>
  <c r="M144" i="4"/>
  <c r="M134" i="4"/>
  <c r="L135" i="4"/>
  <c r="G23" i="2" l="1"/>
  <c r="D23" i="2"/>
  <c r="H23" i="2"/>
  <c r="F23" i="2"/>
  <c r="E23" i="2"/>
  <c r="D38" i="2"/>
  <c r="E36" i="2" s="1"/>
  <c r="E38" i="2" s="1"/>
  <c r="F36" i="2" s="1"/>
  <c r="F38" i="2" s="1"/>
  <c r="G36" i="2" s="1"/>
  <c r="G38" i="2" s="1"/>
  <c r="H36" i="2" s="1"/>
  <c r="H38" i="2" s="1"/>
  <c r="H60" i="2"/>
  <c r="G24" i="1"/>
  <c r="M88" i="3"/>
  <c r="K152" i="3"/>
  <c r="K112" i="4"/>
  <c r="L108" i="4"/>
  <c r="K95" i="4"/>
  <c r="K48" i="4"/>
  <c r="J21" i="4"/>
  <c r="J39" i="4" s="1"/>
  <c r="J41" i="4" s="1"/>
  <c r="D20" i="2"/>
  <c r="D22" i="2"/>
  <c r="G16" i="1"/>
  <c r="N24" i="1"/>
  <c r="N27" i="1" s="1"/>
  <c r="N28" i="1" s="1"/>
  <c r="P24" i="1"/>
  <c r="P27" i="1" s="1"/>
  <c r="P28" i="1" s="1"/>
  <c r="M24" i="1"/>
  <c r="M27" i="1" s="1"/>
  <c r="M28" i="1" s="1"/>
  <c r="O24" i="1"/>
  <c r="O27" i="1" s="1"/>
  <c r="O28" i="1" s="1"/>
  <c r="Q24" i="1"/>
  <c r="Q27" i="1" s="1"/>
  <c r="Q28" i="1" s="1"/>
  <c r="L151" i="3"/>
  <c r="L35" i="3" s="1"/>
  <c r="L85" i="3"/>
  <c r="L91" i="3"/>
  <c r="L69" i="3"/>
  <c r="J62" i="4"/>
  <c r="K36" i="3"/>
  <c r="K38" i="3" s="1"/>
  <c r="L88" i="3"/>
  <c r="L116" i="3"/>
  <c r="M115" i="3"/>
  <c r="M117" i="3" s="1"/>
  <c r="M62" i="3" s="1"/>
  <c r="M168" i="3"/>
  <c r="M169" i="3" s="1"/>
  <c r="M97" i="3"/>
  <c r="M98" i="3" s="1"/>
  <c r="L220" i="4"/>
  <c r="K71" i="4"/>
  <c r="K75" i="4" s="1"/>
  <c r="M226" i="4"/>
  <c r="L72" i="4"/>
  <c r="M64" i="3"/>
  <c r="M93" i="3" s="1"/>
  <c r="M136" i="3"/>
  <c r="L149" i="3"/>
  <c r="L152" i="3" s="1"/>
  <c r="K58" i="3"/>
  <c r="K181" i="4"/>
  <c r="L178" i="4" s="1"/>
  <c r="M127" i="3"/>
  <c r="M63" i="3" s="1"/>
  <c r="M92" i="3" s="1"/>
  <c r="L126" i="3"/>
  <c r="M125" i="3"/>
  <c r="M99" i="4"/>
  <c r="M196" i="4"/>
  <c r="M197" i="4" s="1"/>
  <c r="M106" i="4"/>
  <c r="M257" i="4"/>
  <c r="M96" i="4"/>
  <c r="M145" i="4"/>
  <c r="L99" i="4"/>
  <c r="M79" i="4"/>
  <c r="M125" i="4"/>
  <c r="M60" i="4"/>
  <c r="L17" i="4"/>
  <c r="L180" i="4"/>
  <c r="K20" i="4"/>
  <c r="M205" i="4"/>
  <c r="M107" i="4" s="1"/>
  <c r="M165" i="4"/>
  <c r="M155" i="4"/>
  <c r="M136" i="4"/>
  <c r="H74" i="2" l="1"/>
  <c r="H82" i="2" s="1"/>
  <c r="H63" i="2"/>
  <c r="L95" i="4"/>
  <c r="L48" i="4"/>
  <c r="K21" i="4"/>
  <c r="K39" i="4" s="1"/>
  <c r="K41" i="4" s="1"/>
  <c r="E20" i="2"/>
  <c r="E22" i="2"/>
  <c r="M91" i="3"/>
  <c r="M69" i="3"/>
  <c r="M116" i="3"/>
  <c r="M151" i="3"/>
  <c r="M35" i="3" s="1"/>
  <c r="M36" i="3" s="1"/>
  <c r="M38" i="3" s="1"/>
  <c r="M85" i="3"/>
  <c r="L36" i="3"/>
  <c r="L38" i="3" s="1"/>
  <c r="M229" i="4"/>
  <c r="M72" i="4" s="1"/>
  <c r="L110" i="4"/>
  <c r="L221" i="4"/>
  <c r="L223" i="4" s="1"/>
  <c r="M149" i="3"/>
  <c r="L58" i="3"/>
  <c r="L181" i="4"/>
  <c r="L62" i="4" s="1"/>
  <c r="K62" i="4"/>
  <c r="M126" i="3"/>
  <c r="M97" i="4"/>
  <c r="M135" i="4"/>
  <c r="M61" i="4"/>
  <c r="M98" i="4" s="1"/>
  <c r="M108" i="4"/>
  <c r="M180" i="4"/>
  <c r="M17" i="4"/>
  <c r="L20" i="4"/>
  <c r="L112" i="4" l="1"/>
  <c r="M95" i="4"/>
  <c r="M48" i="4"/>
  <c r="L21" i="4"/>
  <c r="L39" i="4" s="1"/>
  <c r="L41" i="4" s="1"/>
  <c r="F20" i="2"/>
  <c r="F22" i="2"/>
  <c r="M152" i="3"/>
  <c r="M58" i="3" s="1"/>
  <c r="M178" i="4"/>
  <c r="M181" i="4" s="1"/>
  <c r="M62" i="4" s="1"/>
  <c r="M231" i="4"/>
  <c r="M220" i="4"/>
  <c r="L71" i="4"/>
  <c r="L75" i="4" s="1"/>
  <c r="M20" i="4"/>
  <c r="M21" i="4" l="1"/>
  <c r="M39" i="4" s="1"/>
  <c r="M41" i="4" s="1"/>
  <c r="G20" i="2"/>
  <c r="G22" i="2"/>
  <c r="M110" i="4"/>
  <c r="M221" i="4"/>
  <c r="M223" i="4" s="1"/>
  <c r="M71" i="4" s="1"/>
  <c r="M75" i="4" s="1"/>
  <c r="M112" i="4" l="1"/>
  <c r="H20" i="2"/>
  <c r="H22" i="2"/>
  <c r="J176" i="3" l="1"/>
  <c r="J177" i="3" s="1"/>
  <c r="I177" i="3"/>
  <c r="K176" i="3"/>
  <c r="K177" i="3" s="1"/>
  <c r="L176" i="3"/>
  <c r="L177" i="3" s="1"/>
  <c r="M176" i="3"/>
  <c r="M177" i="3" s="1"/>
  <c r="I22" i="3" l="1"/>
  <c r="J22" i="3"/>
  <c r="K22" i="3"/>
  <c r="L22" i="3"/>
  <c r="M22" i="3"/>
  <c r="I24" i="3"/>
  <c r="J24" i="3"/>
  <c r="K24" i="3"/>
  <c r="L24" i="3"/>
  <c r="M24" i="3"/>
  <c r="I25" i="3"/>
  <c r="J25" i="3"/>
  <c r="K25" i="3"/>
  <c r="L25" i="3"/>
  <c r="M25" i="3"/>
  <c r="I26" i="3"/>
  <c r="J26" i="3"/>
  <c r="K26" i="3"/>
  <c r="L26" i="3"/>
  <c r="M26" i="3"/>
  <c r="I27" i="3"/>
  <c r="J27" i="3"/>
  <c r="K27" i="3"/>
  <c r="L27" i="3"/>
  <c r="M27" i="3"/>
  <c r="I29" i="3"/>
  <c r="J29" i="3"/>
  <c r="K29" i="3"/>
  <c r="L29" i="3"/>
  <c r="M29" i="3"/>
  <c r="I30" i="3"/>
  <c r="J30" i="3"/>
  <c r="K30" i="3"/>
  <c r="L30" i="3"/>
  <c r="M30" i="3"/>
  <c r="I32" i="3"/>
  <c r="J32" i="3"/>
  <c r="K32" i="3"/>
  <c r="L32" i="3"/>
  <c r="M32" i="3"/>
  <c r="I33" i="3"/>
  <c r="J33" i="3"/>
  <c r="K33" i="3"/>
  <c r="L33" i="3"/>
  <c r="M33" i="3"/>
  <c r="I55" i="3"/>
  <c r="J55" i="3"/>
  <c r="K55" i="3"/>
  <c r="L55" i="3"/>
  <c r="M55" i="3"/>
  <c r="I60" i="3"/>
  <c r="J60" i="3"/>
  <c r="K60" i="3"/>
  <c r="L60" i="3"/>
  <c r="M60" i="3"/>
  <c r="I73" i="3"/>
  <c r="J73" i="3"/>
  <c r="K73" i="3"/>
  <c r="L73" i="3"/>
  <c r="M73" i="3"/>
  <c r="I75" i="3"/>
  <c r="J75" i="3"/>
  <c r="K75" i="3"/>
  <c r="L75" i="3"/>
  <c r="M75" i="3"/>
  <c r="I77" i="3"/>
  <c r="J77" i="3"/>
  <c r="K77" i="3"/>
  <c r="L77" i="3"/>
  <c r="M77" i="3"/>
  <c r="I84" i="3"/>
  <c r="J84" i="3"/>
  <c r="K84" i="3"/>
  <c r="L84" i="3"/>
  <c r="M84" i="3"/>
  <c r="I95" i="3"/>
  <c r="J95" i="3"/>
  <c r="K95" i="3"/>
  <c r="L95" i="3"/>
  <c r="M95" i="3"/>
  <c r="I105" i="3"/>
  <c r="J105" i="3"/>
  <c r="K105" i="3"/>
  <c r="L105" i="3"/>
  <c r="M105" i="3"/>
  <c r="J106" i="3"/>
  <c r="K106" i="3"/>
  <c r="L106" i="3"/>
  <c r="M106" i="3"/>
  <c r="I107" i="3"/>
  <c r="J107" i="3"/>
  <c r="K107" i="3"/>
  <c r="L107" i="3"/>
  <c r="M107" i="3"/>
  <c r="J186" i="3"/>
  <c r="K186" i="3"/>
  <c r="L186" i="3"/>
  <c r="M186" i="3"/>
  <c r="I187" i="3"/>
  <c r="J187" i="3"/>
  <c r="K187" i="3"/>
  <c r="L187" i="3"/>
  <c r="M187" i="3"/>
  <c r="I189" i="3"/>
  <c r="J189" i="3"/>
  <c r="K189" i="3"/>
  <c r="L189" i="3"/>
  <c r="M189" i="3"/>
  <c r="I205" i="3"/>
  <c r="J205" i="3"/>
  <c r="K205" i="3"/>
  <c r="L205" i="3"/>
  <c r="M205" i="3"/>
  <c r="J213" i="3"/>
  <c r="K213" i="3"/>
  <c r="L213" i="3"/>
  <c r="M213" i="3"/>
  <c r="I214" i="3"/>
  <c r="J214" i="3"/>
  <c r="K214" i="3"/>
  <c r="L214" i="3"/>
  <c r="M214" i="3"/>
  <c r="I215" i="3"/>
  <c r="J215" i="3"/>
  <c r="K215" i="3"/>
  <c r="L215" i="3"/>
  <c r="M215" i="3"/>
  <c r="I222" i="3"/>
  <c r="J222" i="3"/>
  <c r="K222" i="3"/>
  <c r="L222" i="3"/>
  <c r="M222" i="3"/>
  <c r="I223" i="3"/>
  <c r="J223" i="3"/>
  <c r="K223" i="3"/>
  <c r="L223" i="3"/>
  <c r="M223" i="3"/>
  <c r="I224" i="3"/>
  <c r="J224" i="3"/>
  <c r="K224" i="3"/>
  <c r="L224" i="3"/>
  <c r="M224" i="3"/>
  <c r="I226" i="3"/>
  <c r="J226" i="3"/>
  <c r="K226" i="3"/>
  <c r="L226" i="3"/>
  <c r="M226" i="3"/>
  <c r="I227" i="3"/>
  <c r="J227" i="3"/>
  <c r="K227" i="3"/>
  <c r="L227" i="3"/>
  <c r="M227" i="3"/>
  <c r="I231" i="3"/>
  <c r="J231" i="3"/>
  <c r="K231" i="3"/>
  <c r="L231" i="3"/>
  <c r="M231" i="3"/>
  <c r="I232" i="3"/>
  <c r="J232" i="3"/>
  <c r="K232" i="3"/>
  <c r="L232" i="3"/>
  <c r="M232" i="3"/>
  <c r="M13" i="1"/>
  <c r="N13" i="1"/>
  <c r="O13" i="1"/>
  <c r="P13" i="1"/>
  <c r="Q13" i="1"/>
  <c r="M14" i="1"/>
  <c r="N14" i="1"/>
  <c r="O14" i="1"/>
  <c r="P14" i="1"/>
  <c r="Q14" i="1"/>
  <c r="M15" i="1"/>
  <c r="N15" i="1"/>
  <c r="O15" i="1"/>
  <c r="P15" i="1"/>
  <c r="Q15" i="1"/>
  <c r="M18" i="1"/>
  <c r="N18" i="1"/>
  <c r="O18" i="1"/>
  <c r="P18" i="1"/>
  <c r="Q18" i="1"/>
  <c r="M19" i="1"/>
  <c r="N19" i="1"/>
  <c r="O19" i="1"/>
  <c r="P19" i="1"/>
  <c r="Q19" i="1"/>
  <c r="N20" i="1"/>
  <c r="O20" i="1"/>
  <c r="P20" i="1"/>
  <c r="Q20" i="1"/>
  <c r="M30" i="1"/>
  <c r="N30" i="1"/>
  <c r="O30" i="1"/>
  <c r="P30" i="1"/>
  <c r="Q30" i="1"/>
  <c r="M31" i="1"/>
  <c r="N31" i="1"/>
  <c r="O31" i="1"/>
  <c r="P31" i="1"/>
  <c r="Q31" i="1"/>
  <c r="M33" i="1"/>
  <c r="N33" i="1"/>
  <c r="O33" i="1"/>
  <c r="P33" i="1"/>
  <c r="Q33" i="1"/>
  <c r="M34" i="1"/>
  <c r="N34" i="1"/>
  <c r="O34" i="1"/>
  <c r="P34" i="1"/>
  <c r="Q34" i="1"/>
  <c r="M35" i="1"/>
  <c r="N35" i="1"/>
  <c r="O35" i="1"/>
  <c r="P35" i="1"/>
  <c r="Q35" i="1"/>
  <c r="M36" i="1"/>
  <c r="N36" i="1"/>
  <c r="O36" i="1"/>
  <c r="P36" i="1"/>
  <c r="Q36" i="1"/>
  <c r="M37" i="1"/>
  <c r="N37" i="1"/>
  <c r="O37" i="1"/>
  <c r="P37" i="1"/>
  <c r="Q37" i="1"/>
  <c r="K43" i="1"/>
  <c r="G45" i="1"/>
  <c r="G50" i="1"/>
  <c r="D52" i="1"/>
  <c r="K52" i="1"/>
  <c r="G57" i="1"/>
  <c r="D58" i="1"/>
  <c r="G59" i="1"/>
  <c r="K61" i="1"/>
  <c r="K70" i="1"/>
  <c r="D24" i="2"/>
  <c r="E24" i="2"/>
  <c r="F24" i="2"/>
  <c r="G24" i="2"/>
  <c r="H24" i="2"/>
  <c r="D26" i="2"/>
  <c r="E26" i="2"/>
  <c r="F26" i="2"/>
  <c r="G26" i="2"/>
  <c r="H26" i="2"/>
  <c r="D27" i="2"/>
  <c r="E27" i="2"/>
  <c r="F27" i="2"/>
  <c r="G27" i="2"/>
  <c r="H27" i="2"/>
  <c r="D28" i="2"/>
  <c r="E28" i="2"/>
  <c r="F28" i="2"/>
  <c r="G28" i="2"/>
  <c r="H28" i="2"/>
  <c r="D31" i="2"/>
  <c r="E31" i="2"/>
  <c r="F31" i="2"/>
  <c r="G31" i="2"/>
  <c r="H31" i="2"/>
  <c r="D32" i="2"/>
  <c r="E32" i="2"/>
  <c r="F32" i="2"/>
  <c r="G32" i="2"/>
  <c r="H32" i="2"/>
  <c r="D45" i="2"/>
  <c r="E45" i="2"/>
  <c r="H45" i="2"/>
  <c r="F50" i="2"/>
  <c r="H50" i="2"/>
  <c r="D53" i="2"/>
  <c r="E53" i="2"/>
  <c r="H53" i="2"/>
  <c r="D65" i="2"/>
  <c r="E65" i="2"/>
  <c r="G65" i="2"/>
  <c r="H65" i="2"/>
  <c r="D66" i="2"/>
  <c r="E66" i="2"/>
  <c r="H66" i="2"/>
  <c r="D67" i="2"/>
  <c r="E67" i="2"/>
  <c r="H67" i="2"/>
  <c r="H76" i="2"/>
  <c r="H77" i="2"/>
  <c r="H79" i="2"/>
  <c r="H80" i="2"/>
  <c r="H83" i="2"/>
  <c r="H84" i="2"/>
  <c r="I23" i="4"/>
  <c r="J23" i="4"/>
  <c r="K23" i="4"/>
  <c r="L23" i="4"/>
  <c r="M23" i="4"/>
  <c r="I25" i="4"/>
  <c r="J25" i="4"/>
  <c r="K25" i="4"/>
  <c r="L25" i="4"/>
  <c r="M25" i="4"/>
  <c r="I26" i="4"/>
  <c r="J26" i="4"/>
  <c r="K26" i="4"/>
  <c r="L26" i="4"/>
  <c r="M26" i="4"/>
  <c r="I27" i="4"/>
  <c r="J27" i="4"/>
  <c r="K27" i="4"/>
  <c r="L27" i="4"/>
  <c r="M27" i="4"/>
  <c r="I28" i="4"/>
  <c r="J28" i="4"/>
  <c r="K28" i="4"/>
  <c r="L28" i="4"/>
  <c r="M28" i="4"/>
  <c r="I31" i="4"/>
  <c r="J31" i="4"/>
  <c r="K31" i="4"/>
  <c r="L31" i="4"/>
  <c r="M31" i="4"/>
  <c r="I33" i="4"/>
  <c r="J33" i="4"/>
  <c r="K33" i="4"/>
  <c r="L33" i="4"/>
  <c r="M33" i="4"/>
  <c r="I34" i="4"/>
  <c r="J34" i="4"/>
  <c r="K34" i="4"/>
  <c r="L34" i="4"/>
  <c r="M34" i="4"/>
  <c r="J36" i="4"/>
  <c r="K36" i="4"/>
  <c r="L36" i="4"/>
  <c r="M36" i="4"/>
  <c r="J37" i="4"/>
  <c r="K37" i="4"/>
  <c r="L37" i="4"/>
  <c r="M37" i="4"/>
  <c r="I59" i="4"/>
  <c r="J59" i="4"/>
  <c r="K59" i="4"/>
  <c r="L59" i="4"/>
  <c r="M59" i="4"/>
  <c r="I66" i="4"/>
  <c r="J66" i="4"/>
  <c r="K66" i="4"/>
  <c r="L66" i="4"/>
  <c r="M66" i="4"/>
  <c r="I81" i="4"/>
  <c r="J81" i="4"/>
  <c r="K81" i="4"/>
  <c r="L81" i="4"/>
  <c r="M81" i="4"/>
  <c r="I83" i="4"/>
  <c r="J83" i="4"/>
  <c r="K83" i="4"/>
  <c r="L83" i="4"/>
  <c r="M83" i="4"/>
  <c r="I85" i="4"/>
  <c r="J85" i="4"/>
  <c r="K85" i="4"/>
  <c r="L85" i="4"/>
  <c r="M85" i="4"/>
  <c r="I87" i="4"/>
  <c r="J87" i="4"/>
  <c r="K87" i="4"/>
  <c r="L87" i="4"/>
  <c r="M87" i="4"/>
  <c r="I94" i="4"/>
  <c r="J94" i="4"/>
  <c r="K94" i="4"/>
  <c r="L94" i="4"/>
  <c r="M94" i="4"/>
  <c r="I104" i="4"/>
  <c r="J104" i="4"/>
  <c r="K104" i="4"/>
  <c r="L104" i="4"/>
  <c r="M104" i="4"/>
  <c r="I114" i="4"/>
  <c r="J114" i="4"/>
  <c r="K114" i="4"/>
  <c r="L114" i="4"/>
  <c r="M114" i="4"/>
  <c r="J115" i="4"/>
  <c r="K115" i="4"/>
  <c r="L115" i="4"/>
  <c r="M115" i="4"/>
  <c r="I116" i="4"/>
  <c r="J116" i="4"/>
  <c r="K116" i="4"/>
  <c r="L116" i="4"/>
  <c r="M116" i="4"/>
  <c r="J214" i="4"/>
  <c r="K214" i="4"/>
  <c r="L214" i="4"/>
  <c r="M214" i="4"/>
  <c r="I215" i="4"/>
  <c r="J215" i="4"/>
  <c r="K215" i="4"/>
  <c r="L215" i="4"/>
  <c r="M215" i="4"/>
  <c r="I217" i="4"/>
  <c r="J217" i="4"/>
  <c r="K217" i="4"/>
  <c r="L217" i="4"/>
  <c r="M217" i="4"/>
  <c r="I233" i="4"/>
  <c r="J233" i="4"/>
  <c r="K233" i="4"/>
  <c r="L233" i="4"/>
  <c r="M233" i="4"/>
  <c r="J241" i="4"/>
  <c r="K241" i="4"/>
  <c r="L241" i="4"/>
  <c r="M241" i="4"/>
  <c r="I242" i="4"/>
  <c r="J242" i="4"/>
  <c r="K242" i="4"/>
  <c r="L242" i="4"/>
  <c r="M242" i="4"/>
  <c r="I243" i="4"/>
  <c r="J243" i="4"/>
  <c r="K243" i="4"/>
  <c r="L243" i="4"/>
  <c r="M243" i="4"/>
  <c r="I250" i="4"/>
  <c r="J250" i="4"/>
  <c r="K250" i="4"/>
  <c r="L250" i="4"/>
  <c r="M250" i="4"/>
  <c r="J251" i="4"/>
  <c r="K251" i="4"/>
  <c r="L251" i="4"/>
  <c r="M251" i="4"/>
  <c r="I252" i="4"/>
  <c r="J252" i="4"/>
  <c r="K252" i="4"/>
  <c r="L252" i="4"/>
  <c r="M252" i="4"/>
  <c r="J254" i="4"/>
  <c r="K254" i="4"/>
  <c r="L254" i="4"/>
  <c r="M254" i="4"/>
  <c r="I255" i="4"/>
  <c r="J255" i="4"/>
  <c r="K255" i="4"/>
  <c r="L255" i="4"/>
  <c r="M255" i="4"/>
  <c r="I258" i="4"/>
  <c r="J258" i="4"/>
  <c r="K258" i="4"/>
  <c r="L258" i="4"/>
  <c r="M258" i="4"/>
  <c r="I259" i="4"/>
  <c r="J259" i="4"/>
  <c r="K259" i="4"/>
  <c r="L259" i="4"/>
  <c r="M25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</author>
  </authors>
  <commentList>
    <comment ref="C13" authorId="0" shapeId="0" xr:uid="{24596436-8A8D-4C2D-AFEB-EB6B5F4EE95D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Forecast from concensus (cap iq)</t>
        </r>
      </text>
    </comment>
    <comment ref="C45" authorId="0" shapeId="0" xr:uid="{6023E56B-7BEF-44D1-B7AA-0087AFCF1F13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Forecast from concensus (cap iq)</t>
        </r>
      </text>
    </comment>
    <comment ref="C52" authorId="0" shapeId="0" xr:uid="{6BFBF343-F7C8-497D-9623-B66821D04047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Forecast from concensus (cap iq)</t>
        </r>
      </text>
    </comment>
    <comment ref="C206" authorId="0" shapeId="0" xr:uid="{299CF334-EBD7-4F86-80A9-B49FD74223C2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Forecast from company 10-K</t>
        </r>
      </text>
    </comment>
    <comment ref="C228" authorId="0" shapeId="0" xr:uid="{0E464358-4823-48A7-BA41-63BCCF6CD3E3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Assumption to balance large one time long-term debt repayment</t>
        </r>
      </text>
    </comment>
    <comment ref="C230" authorId="0" shapeId="0" xr:uid="{1677CF2A-4318-44B9-95B3-9CBD5812B009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From FYE2025 10-K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</author>
  </authors>
  <commentList>
    <comment ref="C13" authorId="0" shapeId="0" xr:uid="{65AFACE3-4CF6-4DF4-A419-56A9FDCD912C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Forecast from concensus (cap iq)</t>
        </r>
      </text>
    </comment>
    <comment ref="C42" authorId="0" shapeId="0" xr:uid="{5259A934-C994-4502-B044-D5696BE7CD0F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Forecast from concensus (cap iq)</t>
        </r>
      </text>
    </comment>
    <comment ref="C48" authorId="0" shapeId="0" xr:uid="{1CF637F3-9E78-42ED-96AA-C97321C58241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Forecast from concensus (cap iq)</t>
        </r>
      </text>
    </comment>
    <comment ref="C234" authorId="0" shapeId="0" xr:uid="{A87E19BE-59CD-4DB5-82FE-03296E94A67D}">
      <text>
        <r>
          <rPr>
            <b/>
            <sz val="9"/>
            <color indexed="81"/>
            <rFont val="Tahoma"/>
            <family val="2"/>
          </rPr>
          <t>felix:</t>
        </r>
        <r>
          <rPr>
            <sz val="9"/>
            <color indexed="81"/>
            <rFont val="Tahoma"/>
            <family val="2"/>
          </rPr>
          <t xml:space="preserve">
Forecast from concensus (cap iq)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<sst xmlns="http://schemas.openxmlformats.org/spreadsheetml/2006/main" count="652" uniqueCount="340">
  <si>
    <t>Netflix Warner Brothers M&amp;A Model</t>
  </si>
  <si>
    <t>Tax Structure</t>
  </si>
  <si>
    <t>Date</t>
  </si>
  <si>
    <t>Acquirer</t>
  </si>
  <si>
    <t>Name</t>
  </si>
  <si>
    <t>Ticker</t>
  </si>
  <si>
    <t>Latest Filing Date</t>
  </si>
  <si>
    <t>Filing Type</t>
  </si>
  <si>
    <t>Current Share Price</t>
  </si>
  <si>
    <t>Target</t>
  </si>
  <si>
    <t>% offer premium</t>
  </si>
  <si>
    <t>Offer Price per Share</t>
  </si>
  <si>
    <t>Diluted Shares Outstanding</t>
  </si>
  <si>
    <t>TRANSACTION ASSUMPTIONS</t>
  </si>
  <si>
    <t>Deal Structure</t>
  </si>
  <si>
    <t>% Stock</t>
  </si>
  <si>
    <t>% Cash</t>
  </si>
  <si>
    <t>Acquirer Shares Issued in Transaction</t>
  </si>
  <si>
    <t>Nominal Exchange Ratio (offer price/acq share price)</t>
  </si>
  <si>
    <t>Actual exchange ratio (% stock x offer price/acq share price)</t>
  </si>
  <si>
    <t>Other Assumptions</t>
  </si>
  <si>
    <t>Deal Fees as % of offer value</t>
  </si>
  <si>
    <t>Deal Fees</t>
  </si>
  <si>
    <t>Transaction Financing</t>
  </si>
  <si>
    <t>% Cash consideration financed with debt</t>
  </si>
  <si>
    <t>% Cash consideration financed with excess cash</t>
  </si>
  <si>
    <t xml:space="preserve">Acquirer new borrowing </t>
  </si>
  <si>
    <t>Acquirer excess cash used</t>
  </si>
  <si>
    <t>% of total acquirer cash balance</t>
  </si>
  <si>
    <t xml:space="preserve">Treatment of target debt </t>
  </si>
  <si>
    <t>Debt to be refinanced</t>
  </si>
  <si>
    <t>Total acquisition financing</t>
  </si>
  <si>
    <t>Acquirer available cash</t>
  </si>
  <si>
    <t>Target debt outstanding</t>
  </si>
  <si>
    <t>Term of loan</t>
  </si>
  <si>
    <t>Financing fees as % of acquisition financing</t>
  </si>
  <si>
    <t>Financing fees</t>
  </si>
  <si>
    <t>Interest rate on new debt</t>
  </si>
  <si>
    <t>Interest earned on cash</t>
  </si>
  <si>
    <t>SOURCES &amp; USES OF FUNDS</t>
  </si>
  <si>
    <t>Sources of Funds</t>
  </si>
  <si>
    <t>Uses of Funds</t>
  </si>
  <si>
    <t>New borrowing to acquire target</t>
  </si>
  <si>
    <t>New borrowing to refinance target debt</t>
  </si>
  <si>
    <t>Cash used to acquire target</t>
  </si>
  <si>
    <t>Value of stock issued to acquire target</t>
  </si>
  <si>
    <t>Cash for fees</t>
  </si>
  <si>
    <t>Total sources</t>
  </si>
  <si>
    <t>Stock to target</t>
  </si>
  <si>
    <t>Cash to target</t>
  </si>
  <si>
    <t>Target debt refinanced</t>
  </si>
  <si>
    <t>Total Uses</t>
  </si>
  <si>
    <t xml:space="preserve">Deal fees </t>
  </si>
  <si>
    <t>WRITE-UPS &amp; PURCHASE PRICE ALLOCATION</t>
  </si>
  <si>
    <t>Asset Write-Ups</t>
  </si>
  <si>
    <t>Book value of target PP&amp;E</t>
  </si>
  <si>
    <t>% Write-up</t>
  </si>
  <si>
    <t>Asset write-up</t>
  </si>
  <si>
    <t>Useful life</t>
  </si>
  <si>
    <t>Incremental depreciation expense</t>
  </si>
  <si>
    <t>Incremental deferred tax liabilities</t>
  </si>
  <si>
    <t xml:space="preserve">Book value of target intangible assets </t>
  </si>
  <si>
    <t>Incremental amortization expense</t>
  </si>
  <si>
    <t>Purchase Price Allocation</t>
  </si>
  <si>
    <t>Target assets - book value</t>
  </si>
  <si>
    <t>Plus: PP&amp;E write ups</t>
  </si>
  <si>
    <t>Plus: Intangible asset write ups</t>
  </si>
  <si>
    <t>Less: Write off of target goodwill</t>
  </si>
  <si>
    <t>Less: Write off of target deferred tax assets</t>
  </si>
  <si>
    <t>Target assets - fair market value</t>
  </si>
  <si>
    <t>Target liabilities - book value</t>
  </si>
  <si>
    <t>Less: Write off of target deferred tax liabilities</t>
  </si>
  <si>
    <t>Plus: New deferred tax liabilities created</t>
  </si>
  <si>
    <t>Target liabilities - fair market value</t>
  </si>
  <si>
    <t>Target net book value - fair market value</t>
  </si>
  <si>
    <t>Offer value</t>
  </si>
  <si>
    <t>Goodwill created in transaction</t>
  </si>
  <si>
    <t>ACCRETION/DILUTION ANALYSIS</t>
  </si>
  <si>
    <t>EPS Accounting:</t>
  </si>
  <si>
    <t>Net income</t>
  </si>
  <si>
    <t>Less: Interest expense from new deal debt</t>
  </si>
  <si>
    <t>Less: Interest income on cash forgone</t>
  </si>
  <si>
    <t>Plus: Synergies</t>
  </si>
  <si>
    <t>Less: Incremental D&amp;A expense</t>
  </si>
  <si>
    <t>Taxes (assumed at acquirer's rate)</t>
  </si>
  <si>
    <t>Total after tax transaction related income/ (expenses)</t>
  </si>
  <si>
    <t>Pro Forma Shares Outstanding</t>
  </si>
  <si>
    <t>Acquirer standalone EPS</t>
  </si>
  <si>
    <t>Accretion / Dilution per share</t>
  </si>
  <si>
    <t>Accretion / Dilution %</t>
  </si>
  <si>
    <t>Additional pretax synergies required to breakeven</t>
  </si>
  <si>
    <t>Transaction related expenses/income</t>
  </si>
  <si>
    <t>SENSITIVITY ANALYSIS</t>
  </si>
  <si>
    <t>Accretion/Dilution Year 1</t>
  </si>
  <si>
    <t>Offer Price</t>
  </si>
  <si>
    <t>Current % stock</t>
  </si>
  <si>
    <t>Current share price</t>
  </si>
  <si>
    <t>% Cash Consideration Financed with Debt</t>
  </si>
  <si>
    <t>Accretion/Dilution Year 2</t>
  </si>
  <si>
    <t>Netflix</t>
  </si>
  <si>
    <t>Warner Brothers</t>
  </si>
  <si>
    <t>In millions, except per share data</t>
  </si>
  <si>
    <t>Latest Fiscal Year End Date</t>
  </si>
  <si>
    <t>Fiscal Year</t>
  </si>
  <si>
    <t>End Date</t>
  </si>
  <si>
    <t>INCOME STATEMENT</t>
  </si>
  <si>
    <t>Revenue</t>
  </si>
  <si>
    <t>Cost of revenue</t>
  </si>
  <si>
    <t>Gross profit</t>
  </si>
  <si>
    <t>SG&amp;A</t>
  </si>
  <si>
    <t>Depreciation and amortization</t>
  </si>
  <si>
    <t>Restructuring charges</t>
  </si>
  <si>
    <t>Impairments and loss on dispositions</t>
  </si>
  <si>
    <t>Total operating expenses</t>
  </si>
  <si>
    <t>Operating income (EBIT)</t>
  </si>
  <si>
    <t>Interest expense</t>
  </si>
  <si>
    <t>Interest expense, net</t>
  </si>
  <si>
    <t>Other income (expense), net</t>
  </si>
  <si>
    <t>Total other income/expense</t>
  </si>
  <si>
    <t>Income (loss) before income taxes</t>
  </si>
  <si>
    <t>Income tax expense</t>
  </si>
  <si>
    <t>Net income attributable to noncontrolling interests</t>
  </si>
  <si>
    <t>Net income attributable to redeemable noncontrolling interests</t>
  </si>
  <si>
    <t>Net income available to Warner Bros</t>
  </si>
  <si>
    <t>Basic EPS</t>
  </si>
  <si>
    <t>Diluted EPS</t>
  </si>
  <si>
    <t>Basic weighted average shares outstanding</t>
  </si>
  <si>
    <t>Diluted weighted average shares outstanding</t>
  </si>
  <si>
    <t>BALANCE SHEET</t>
  </si>
  <si>
    <t>x</t>
  </si>
  <si>
    <t>Cash and cash equivalents</t>
  </si>
  <si>
    <t>Account receivables, net</t>
  </si>
  <si>
    <t>Prepaid expenses and other current assets</t>
  </si>
  <si>
    <t>Property and equipment, net</t>
  </si>
  <si>
    <t>Goodwill</t>
  </si>
  <si>
    <t>Intangible assets, net</t>
  </si>
  <si>
    <t>Total Assets</t>
  </si>
  <si>
    <t>Accounts payable</t>
  </si>
  <si>
    <t>Accrued liabilities</t>
  </si>
  <si>
    <t>Deferred revenue</t>
  </si>
  <si>
    <t>Current portion of debt</t>
  </si>
  <si>
    <t>Deferred income taxes</t>
  </si>
  <si>
    <t>Total Liabilities</t>
  </si>
  <si>
    <t>Common stock</t>
  </si>
  <si>
    <t>Treasury stock</t>
  </si>
  <si>
    <t>Retained earnings</t>
  </si>
  <si>
    <t>Accumulated other comprehensive loss</t>
  </si>
  <si>
    <t>Total Warner Bros equity</t>
  </si>
  <si>
    <t>Noncontrolling interests</t>
  </si>
  <si>
    <t>Total Equity</t>
  </si>
  <si>
    <t>CASH FLOW STATEMENT</t>
  </si>
  <si>
    <t>Redeemable noncontrolling interests</t>
  </si>
  <si>
    <t>Balance check</t>
  </si>
  <si>
    <t>Tech and development</t>
  </si>
  <si>
    <t>General and administrative</t>
  </si>
  <si>
    <t>Other current assets</t>
  </si>
  <si>
    <t>Content assets, net</t>
  </si>
  <si>
    <t>Accrued expenses and other liabilities</t>
  </si>
  <si>
    <t>Short-term debt</t>
  </si>
  <si>
    <t>Long-term debt</t>
  </si>
  <si>
    <t>Sales and marketing</t>
  </si>
  <si>
    <t>NASDAQ: NFLX</t>
  </si>
  <si>
    <t>10-K</t>
  </si>
  <si>
    <t>NASDAQ: WBD</t>
  </si>
  <si>
    <t>Pro Forma Financial Statements</t>
  </si>
  <si>
    <t>Warner Bros</t>
  </si>
  <si>
    <t>Pro Forma</t>
  </si>
  <si>
    <t>Diluted shares outstanding</t>
  </si>
  <si>
    <t>Equity value</t>
  </si>
  <si>
    <t>Net debt</t>
  </si>
  <si>
    <t>Enterprise value</t>
  </si>
  <si>
    <t>EBITDA</t>
  </si>
  <si>
    <t>Offer Value</t>
  </si>
  <si>
    <t>Warner Bros Discovery Financial Statement Model</t>
  </si>
  <si>
    <t>Netflix Financial Statement Model</t>
  </si>
  <si>
    <t>Stock-based compensation</t>
  </si>
  <si>
    <t>Adjusted EBITDA</t>
  </si>
  <si>
    <t>Growth rate and margins</t>
  </si>
  <si>
    <t>Revenue growth %</t>
  </si>
  <si>
    <t>Gross margin %</t>
  </si>
  <si>
    <t>SG&amp;A % of sales</t>
  </si>
  <si>
    <t>D&amp;A % of sales</t>
  </si>
  <si>
    <t>Restructuring charges % of sales</t>
  </si>
  <si>
    <t>Impairments and loss on dispositions % of sales</t>
  </si>
  <si>
    <t>Effective tax rate</t>
  </si>
  <si>
    <t>Other assets</t>
  </si>
  <si>
    <t>Other liabilities</t>
  </si>
  <si>
    <t>Changes in accounts receivable</t>
  </si>
  <si>
    <t>Changes in prepaid expenses and other current assets</t>
  </si>
  <si>
    <t>Changes in accounts payable</t>
  </si>
  <si>
    <t>Changes in accrued liabilities</t>
  </si>
  <si>
    <t>Changes in deferred revenue</t>
  </si>
  <si>
    <t>Changes in other assets</t>
  </si>
  <si>
    <t>Changes in other liabilities</t>
  </si>
  <si>
    <t>Cash flows from operating activities</t>
  </si>
  <si>
    <t>Capital expenditures</t>
  </si>
  <si>
    <t>Purchases of intangible assets</t>
  </si>
  <si>
    <t>Cash flows from investing activities</t>
  </si>
  <si>
    <t>Debt repayments</t>
  </si>
  <si>
    <t>Debt borrowing</t>
  </si>
  <si>
    <t>Cash flows from financing activities</t>
  </si>
  <si>
    <t>Net change in cash</t>
  </si>
  <si>
    <t>Beginning cash balance</t>
  </si>
  <si>
    <t>Ending cash balance</t>
  </si>
  <si>
    <t>Property and equipment</t>
  </si>
  <si>
    <t>Beginning of period</t>
  </si>
  <si>
    <t>Less: Depreciation</t>
  </si>
  <si>
    <t>End of period</t>
  </si>
  <si>
    <t>Intangible assets</t>
  </si>
  <si>
    <t>Debt schedule</t>
  </si>
  <si>
    <t>EPS</t>
  </si>
  <si>
    <t>Plus: Capital expenditures</t>
  </si>
  <si>
    <t>Plus: Additions</t>
  </si>
  <si>
    <t>Less: Amortization</t>
  </si>
  <si>
    <t>Working Capital</t>
  </si>
  <si>
    <t>Circ Break 1 = off, 0 = on</t>
  </si>
  <si>
    <t>Accounts receivable, net</t>
  </si>
  <si>
    <t>Increase/Decrease</t>
  </si>
  <si>
    <t>A/R forecasting approach (1=grow with rev, 2=DSO)</t>
  </si>
  <si>
    <t>Grow in line with revenue (1)</t>
  </si>
  <si>
    <t>DSO Assumption (2)</t>
  </si>
  <si>
    <t>Days prepaid Assumption (2)</t>
  </si>
  <si>
    <t>DPO Assumption (2)</t>
  </si>
  <si>
    <t>Days accrued Assumption (2)</t>
  </si>
  <si>
    <t>Accrued liabilities forecasting approach (1=grow with rev, 2=DSO)</t>
  </si>
  <si>
    <t>A/P forecasting approach (1=grow with rev, 2=DSO)</t>
  </si>
  <si>
    <t>Prepaid exp. &amp; current assets forecasting approach (1=grow with rev, 2=DSO)</t>
  </si>
  <si>
    <t>Grow in line with cost of revenue (1)</t>
  </si>
  <si>
    <t>Deferred Revenue</t>
  </si>
  <si>
    <t>Days deferred Assumption (2)</t>
  </si>
  <si>
    <t>Depreciation waterfall</t>
  </si>
  <si>
    <t>Gross PPE</t>
  </si>
  <si>
    <t>Non-depreciable PPE</t>
  </si>
  <si>
    <t xml:space="preserve">Accumulated Depreciation </t>
  </si>
  <si>
    <t xml:space="preserve">Average useful life </t>
  </si>
  <si>
    <t>Override (for smoothing)</t>
  </si>
  <si>
    <t>Depreciation from existing PPE</t>
  </si>
  <si>
    <t>Depreciation from capex purchased in 2026</t>
  </si>
  <si>
    <t>Depreciation from capex purchased in 2027</t>
  </si>
  <si>
    <t>Depreciation from capex purchased in 2028</t>
  </si>
  <si>
    <t>Depreciation from capex purchased in 2029</t>
  </si>
  <si>
    <t>Depreciation from capex purchased in 2030</t>
  </si>
  <si>
    <t>Total Depreciation</t>
  </si>
  <si>
    <t>Midyear Adj.</t>
  </si>
  <si>
    <t xml:space="preserve">Net PPE </t>
  </si>
  <si>
    <t>Beginning of period cash</t>
  </si>
  <si>
    <t>Minimum cash balance</t>
  </si>
  <si>
    <t>Cash available to pay down debt</t>
  </si>
  <si>
    <t>Interest rate</t>
  </si>
  <si>
    <t>Interest income</t>
  </si>
  <si>
    <t>Plus: Net income</t>
  </si>
  <si>
    <t>Basic shares</t>
  </si>
  <si>
    <t>Diluted shares</t>
  </si>
  <si>
    <t>Shares repurchased</t>
  </si>
  <si>
    <t>New shares issued</t>
  </si>
  <si>
    <t>Average share price</t>
  </si>
  <si>
    <t>Share price increase (net income growth %)</t>
  </si>
  <si>
    <t>Shares Outstanding</t>
  </si>
  <si>
    <t>Stock-based compensation expense</t>
  </si>
  <si>
    <t>Stock Sale</t>
  </si>
  <si>
    <t>Sales and marketing % of sales</t>
  </si>
  <si>
    <t>Tech and development % of sales</t>
  </si>
  <si>
    <t>General and administrative % of sales</t>
  </si>
  <si>
    <t>Changes in other current assets</t>
  </si>
  <si>
    <t>Changes in content assets</t>
  </si>
  <si>
    <t>Changes in content liabilities</t>
  </si>
  <si>
    <t>Changes in accrued expenses and other liabilities</t>
  </si>
  <si>
    <t>Debt repayment</t>
  </si>
  <si>
    <t>Share repurchases</t>
  </si>
  <si>
    <t>Content assets</t>
  </si>
  <si>
    <t>Cash and cash equivalents, and short-term investments</t>
  </si>
  <si>
    <t>Cash flows generated before debt paydown during the period</t>
  </si>
  <si>
    <t>Mandatory issuances (retirements)</t>
  </si>
  <si>
    <t>Non-mandatory issuances (retirements)</t>
  </si>
  <si>
    <t>Content liabilities</t>
  </si>
  <si>
    <t>Basic share count</t>
  </si>
  <si>
    <t>RSUs/PSUs</t>
  </si>
  <si>
    <t>Total Basic Share Count</t>
  </si>
  <si>
    <t>Options count</t>
  </si>
  <si>
    <t>Weighted average exercise price</t>
  </si>
  <si>
    <t># of options exercised</t>
  </si>
  <si>
    <t>Option proceeds</t>
  </si>
  <si>
    <t>Net Dilution from Options</t>
  </si>
  <si>
    <t>Convertible debt outstanding</t>
  </si>
  <si>
    <t>Conversion ratio</t>
  </si>
  <si>
    <t>Conversion price</t>
  </si>
  <si>
    <t>Common shares convertible into</t>
  </si>
  <si>
    <t>Dilution from convertible debt</t>
  </si>
  <si>
    <t>Convertible preferred par value</t>
  </si>
  <si>
    <t>Preferred shares oustanding</t>
  </si>
  <si>
    <t>Dilution from preferred stock</t>
  </si>
  <si>
    <t>Fully Diluted Shares Outstanding</t>
  </si>
  <si>
    <t>Shares</t>
  </si>
  <si>
    <t>Acquirer Tax Rate (2026E)</t>
  </si>
  <si>
    <t>Target Tax Rate (2026E)</t>
  </si>
  <si>
    <t>Refinanced</t>
  </si>
  <si>
    <t>GAAP EPS</t>
  </si>
  <si>
    <t>Non-GAAP EPS</t>
  </si>
  <si>
    <t>Operating expenses</t>
  </si>
  <si>
    <t>Incremental Depreciation and Amortization</t>
  </si>
  <si>
    <t>Cost synergies</t>
  </si>
  <si>
    <t>EBIT</t>
  </si>
  <si>
    <t>Other income (expense)</t>
  </si>
  <si>
    <t>EBT</t>
  </si>
  <si>
    <t xml:space="preserve">     Net income margin</t>
  </si>
  <si>
    <t xml:space="preserve">     Effective tax rate</t>
  </si>
  <si>
    <t xml:space="preserve">     EBT Margin</t>
  </si>
  <si>
    <t xml:space="preserve">     EBIT Margin</t>
  </si>
  <si>
    <t xml:space="preserve">     Cost synergies as % of OPEX</t>
  </si>
  <si>
    <t xml:space="preserve">     Incremental D&amp;A as % of OPEX</t>
  </si>
  <si>
    <t xml:space="preserve">     Operating expenses as % of revenue</t>
  </si>
  <si>
    <t xml:space="preserve">     Gross profit margin</t>
  </si>
  <si>
    <t xml:space="preserve">     Cost of revenue as % of revenue</t>
  </si>
  <si>
    <t xml:space="preserve">     Revenue growth %</t>
  </si>
  <si>
    <t>Standalone</t>
  </si>
  <si>
    <t>Neflix</t>
  </si>
  <si>
    <t>Adjustments</t>
  </si>
  <si>
    <t>Increase</t>
  </si>
  <si>
    <t>(Decrease)</t>
  </si>
  <si>
    <t>Shareholder's equity</t>
  </si>
  <si>
    <t>Total Equity and Liabilities</t>
  </si>
  <si>
    <t>Credit Statistics</t>
  </si>
  <si>
    <t>Total debt</t>
  </si>
  <si>
    <t>Plus: Noncontrolling interests</t>
  </si>
  <si>
    <t>Less: Cash and cash equivalents</t>
  </si>
  <si>
    <t>EBITDA for 2025YE</t>
  </si>
  <si>
    <t>Gross debt/EBITDA</t>
  </si>
  <si>
    <t>EV/EBITDA</t>
  </si>
  <si>
    <t>Debt/equity</t>
  </si>
  <si>
    <t>Accretion/Dilution Year 3</t>
  </si>
  <si>
    <t>BALANCE SHEET ADJUSTMENTS</t>
  </si>
  <si>
    <t>Assumed annual pretax cost synergies</t>
  </si>
  <si>
    <t>Assumed annual revenue synergies</t>
  </si>
  <si>
    <t>Financing Fee Amortization</t>
  </si>
  <si>
    <t>Beginning financing fees</t>
  </si>
  <si>
    <t>Amortization</t>
  </si>
  <si>
    <t>Ending financing fees</t>
  </si>
  <si>
    <t>Balance Check</t>
  </si>
  <si>
    <t>Netflix FY2026 EBITDA</t>
  </si>
  <si>
    <t>Warner Bros FY2026 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</si>
</sst>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&quot;FY&quot;####"/>
    <numFmt numFmtId="165" formatCode="####&quot;A&quot;"/>
    <numFmt numFmtId="166" formatCode="####&quot;E&quot;"/>
    <numFmt numFmtId="167" formatCode="#,##0_);\(#,##0\)"/>
    <numFmt numFmtId="168" formatCode="0.00_);\(0.00\)"/>
    <numFmt numFmtId="169" formatCode="##%_);\(##%\)"/>
    <numFmt numFmtId="170" formatCode="&quot;$&quot;0.00_);\(&quot;$&quot;0.00\)"/>
    <numFmt numFmtId="171" formatCode="0.00%_);\(0.00%\)"/>
    <numFmt numFmtId="172" formatCode="##\ &quot;days&quot;"/>
    <numFmt numFmtId="173" formatCode="##\ &quot;years&quot;"/>
    <numFmt numFmtId="175" formatCode="#,##0;\(#,##0\)"/>
    <numFmt numFmtId="176" formatCode="#"/>
    <numFmt numFmtId="180" formatCode="0.00\x_);\(0.00\x\)"/>
    <numFmt numFmtId="181" formatCode="#\ &quot;years&quot;"/>
  </numFmts>
  <fonts count="2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FF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FF"/>
      <name val="Calibri"/>
      <family val="2"/>
    </font>
    <font>
      <sz val="11"/>
      <color theme="9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i/>
      <sz val="11"/>
      <color theme="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60">
    <xf numFmtId="0" fontId="0" fillId="0" borderId="0" xfId="0"/>
    <xf numFmtId="0" fontId="0" fillId="0" borderId="2" xfId="0" applyBorder="1"/>
    <xf numFmtId="0" fontId="2" fillId="0" borderId="0" xfId="0" applyFont="1"/>
    <xf numFmtId="164" fontId="2" fillId="0" borderId="0" xfId="0" applyNumberFormat="1" applyFont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14" fontId="2" fillId="0" borderId="0" xfId="0" applyNumberFormat="1" applyFont="1"/>
    <xf numFmtId="0" fontId="2" fillId="0" borderId="1" xfId="0" applyFont="1" applyBorder="1" applyAlignment="1">
      <alignment horizontal="centerContinuous"/>
    </xf>
    <xf numFmtId="9" fontId="0" fillId="0" borderId="0" xfId="0" applyNumberFormat="1"/>
    <xf numFmtId="0" fontId="0" fillId="0" borderId="0" xfId="0" applyAlignment="1">
      <alignment horizontal="centerContinuous"/>
    </xf>
    <xf numFmtId="0" fontId="2" fillId="0" borderId="6" xfId="0" applyFont="1" applyBorder="1"/>
    <xf numFmtId="0" fontId="3" fillId="2" borderId="2" xfId="0" applyFont="1" applyFill="1" applyBorder="1"/>
    <xf numFmtId="0" fontId="1" fillId="2" borderId="10" xfId="0" applyFont="1" applyFill="1" applyBorder="1"/>
    <xf numFmtId="0" fontId="3" fillId="2" borderId="11" xfId="0" applyFont="1" applyFill="1" applyBorder="1"/>
    <xf numFmtId="0" fontId="3" fillId="2" borderId="12" xfId="0" applyFont="1" applyFill="1" applyBorder="1"/>
    <xf numFmtId="0" fontId="2" fillId="0" borderId="10" xfId="0" applyFont="1" applyBorder="1"/>
    <xf numFmtId="0" fontId="2" fillId="3" borderId="2" xfId="0" applyFont="1" applyFill="1" applyBorder="1"/>
    <xf numFmtId="0" fontId="0" fillId="3" borderId="2" xfId="0" applyFill="1" applyBorder="1"/>
    <xf numFmtId="0" fontId="5" fillId="0" borderId="0" xfId="0" applyFont="1"/>
    <xf numFmtId="14" fontId="2" fillId="3" borderId="0" xfId="0" applyNumberFormat="1" applyFont="1" applyFill="1" applyAlignment="1">
      <alignment horizontal="centerContinuous"/>
    </xf>
    <xf numFmtId="0" fontId="6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7" fillId="2" borderId="7" xfId="0" applyFont="1" applyFill="1" applyBorder="1"/>
    <xf numFmtId="0" fontId="3" fillId="2" borderId="8" xfId="0" applyFont="1" applyFill="1" applyBorder="1"/>
    <xf numFmtId="0" fontId="0" fillId="0" borderId="12" xfId="0" applyBorder="1"/>
    <xf numFmtId="167" fontId="0" fillId="0" borderId="0" xfId="0" applyNumberFormat="1"/>
    <xf numFmtId="167" fontId="0" fillId="0" borderId="2" xfId="0" applyNumberFormat="1" applyBorder="1"/>
    <xf numFmtId="167" fontId="0" fillId="0" borderId="12" xfId="0" applyNumberFormat="1" applyBorder="1"/>
    <xf numFmtId="168" fontId="0" fillId="0" borderId="0" xfId="0" applyNumberFormat="1"/>
    <xf numFmtId="167" fontId="8" fillId="0" borderId="0" xfId="0" applyNumberFormat="1" applyFont="1"/>
    <xf numFmtId="167" fontId="8" fillId="0" borderId="2" xfId="0" applyNumberFormat="1" applyFont="1" applyBorder="1"/>
    <xf numFmtId="168" fontId="8" fillId="0" borderId="0" xfId="0" applyNumberFormat="1" applyFont="1"/>
    <xf numFmtId="0" fontId="8" fillId="0" borderId="0" xfId="0" applyFont="1"/>
    <xf numFmtId="0" fontId="2" fillId="0" borderId="13" xfId="0" applyFont="1" applyBorder="1"/>
    <xf numFmtId="0" fontId="4" fillId="0" borderId="0" xfId="0" applyFont="1"/>
    <xf numFmtId="167" fontId="0" fillId="0" borderId="13" xfId="0" applyNumberFormat="1" applyBorder="1"/>
    <xf numFmtId="167" fontId="4" fillId="0" borderId="0" xfId="0" applyNumberFormat="1" applyFont="1"/>
    <xf numFmtId="0" fontId="2" fillId="3" borderId="0" xfId="0" applyFont="1" applyFill="1"/>
    <xf numFmtId="165" fontId="2" fillId="3" borderId="0" xfId="0" applyNumberFormat="1" applyFont="1" applyFill="1"/>
    <xf numFmtId="166" fontId="2" fillId="3" borderId="0" xfId="0" applyNumberFormat="1" applyFont="1" applyFill="1"/>
    <xf numFmtId="14" fontId="2" fillId="3" borderId="2" xfId="0" applyNumberFormat="1" applyFont="1" applyFill="1" applyBorder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69" fontId="0" fillId="0" borderId="0" xfId="0" applyNumberFormat="1"/>
    <xf numFmtId="0" fontId="2" fillId="3" borderId="12" xfId="0" applyFont="1" applyFill="1" applyBorder="1" applyAlignment="1">
      <alignment horizontal="centerContinuous"/>
    </xf>
    <xf numFmtId="169" fontId="8" fillId="0" borderId="0" xfId="0" applyNumberFormat="1" applyFont="1"/>
    <xf numFmtId="171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171" fontId="0" fillId="0" borderId="0" xfId="0" applyNumberFormat="1"/>
    <xf numFmtId="0" fontId="4" fillId="0" borderId="2" xfId="0" applyFont="1" applyBorder="1"/>
    <xf numFmtId="171" fontId="8" fillId="0" borderId="0" xfId="0" applyNumberFormat="1" applyFont="1"/>
    <xf numFmtId="171" fontId="11" fillId="0" borderId="0" xfId="0" applyNumberFormat="1" applyFont="1"/>
    <xf numFmtId="0" fontId="0" fillId="0" borderId="0" xfId="0" applyBorder="1"/>
    <xf numFmtId="0" fontId="0" fillId="0" borderId="0" xfId="0" applyFill="1" applyBorder="1"/>
    <xf numFmtId="167" fontId="11" fillId="0" borderId="0" xfId="0" applyNumberFormat="1" applyFont="1"/>
    <xf numFmtId="0" fontId="2" fillId="0" borderId="0" xfId="0" applyFont="1" applyFill="1" applyBorder="1"/>
    <xf numFmtId="0" fontId="0" fillId="0" borderId="13" xfId="0" applyBorder="1"/>
    <xf numFmtId="167" fontId="2" fillId="0" borderId="0" xfId="0" applyNumberFormat="1" applyFont="1"/>
    <xf numFmtId="0" fontId="0" fillId="0" borderId="0" xfId="0" applyFill="1"/>
    <xf numFmtId="0" fontId="7" fillId="0" borderId="0" xfId="0" applyFont="1" applyFill="1" applyBorder="1"/>
    <xf numFmtId="0" fontId="3" fillId="0" borderId="0" xfId="0" applyFont="1" applyFill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5" fillId="0" borderId="2" xfId="0" applyFont="1" applyBorder="1"/>
    <xf numFmtId="172" fontId="0" fillId="0" borderId="0" xfId="0" applyNumberFormat="1"/>
    <xf numFmtId="10" fontId="15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Continuous"/>
    </xf>
    <xf numFmtId="167" fontId="0" fillId="3" borderId="0" xfId="0" applyNumberFormat="1" applyFill="1"/>
    <xf numFmtId="167" fontId="0" fillId="0" borderId="0" xfId="0" applyNumberFormat="1" applyFont="1"/>
    <xf numFmtId="0" fontId="0" fillId="0" borderId="0" xfId="0" applyFont="1"/>
    <xf numFmtId="175" fontId="16" fillId="3" borderId="0" xfId="0" applyNumberFormat="1" applyFont="1" applyFill="1" applyAlignment="1">
      <alignment horizontal="centerContinuous"/>
    </xf>
    <xf numFmtId="176" fontId="16" fillId="3" borderId="0" xfId="0" applyNumberFormat="1" applyFont="1" applyFill="1" applyAlignment="1">
      <alignment horizontal="centerContinuous"/>
    </xf>
    <xf numFmtId="167" fontId="2" fillId="0" borderId="13" xfId="0" applyNumberFormat="1" applyFont="1" applyBorder="1"/>
    <xf numFmtId="0" fontId="0" fillId="0" borderId="2" xfId="0" applyFill="1" applyBorder="1"/>
    <xf numFmtId="0" fontId="0" fillId="0" borderId="0" xfId="0" applyFont="1" applyFill="1" applyBorder="1"/>
    <xf numFmtId="0" fontId="0" fillId="0" borderId="2" xfId="0" applyFont="1" applyFill="1" applyBorder="1"/>
    <xf numFmtId="168" fontId="11" fillId="0" borderId="0" xfId="0" applyNumberFormat="1" applyFont="1"/>
    <xf numFmtId="167" fontId="0" fillId="0" borderId="0" xfId="0" applyNumberFormat="1" applyBorder="1"/>
    <xf numFmtId="167" fontId="18" fillId="0" borderId="0" xfId="0" applyNumberFormat="1" applyFont="1"/>
    <xf numFmtId="167" fontId="14" fillId="0" borderId="0" xfId="0" applyNumberFormat="1" applyFont="1"/>
    <xf numFmtId="170" fontId="18" fillId="0" borderId="0" xfId="0" applyNumberFormat="1" applyFont="1"/>
    <xf numFmtId="167" fontId="15" fillId="0" borderId="0" xfId="0" applyNumberFormat="1" applyFont="1"/>
    <xf numFmtId="168" fontId="18" fillId="0" borderId="0" xfId="0" applyNumberFormat="1" applyFont="1"/>
    <xf numFmtId="170" fontId="15" fillId="0" borderId="0" xfId="0" applyNumberFormat="1" applyFont="1"/>
    <xf numFmtId="167" fontId="18" fillId="0" borderId="0" xfId="1" applyNumberFormat="1" applyFont="1"/>
    <xf numFmtId="43" fontId="18" fillId="0" borderId="0" xfId="1" applyFont="1"/>
    <xf numFmtId="167" fontId="14" fillId="0" borderId="2" xfId="0" applyNumberFormat="1" applyFont="1" applyBorder="1"/>
    <xf numFmtId="167" fontId="19" fillId="0" borderId="0" xfId="0" applyNumberFormat="1" applyFont="1"/>
    <xf numFmtId="170" fontId="0" fillId="0" borderId="0" xfId="0" applyNumberFormat="1"/>
    <xf numFmtId="167" fontId="18" fillId="0" borderId="2" xfId="1" applyNumberFormat="1" applyFont="1" applyBorder="1"/>
    <xf numFmtId="0" fontId="0" fillId="0" borderId="14" xfId="0" applyBorder="1"/>
    <xf numFmtId="167" fontId="2" fillId="0" borderId="14" xfId="0" applyNumberFormat="1" applyFont="1" applyBorder="1"/>
    <xf numFmtId="0" fontId="2" fillId="0" borderId="14" xfId="0" applyFont="1" applyBorder="1"/>
    <xf numFmtId="167" fontId="0" fillId="0" borderId="0" xfId="0" applyNumberFormat="1" applyAlignment="1">
      <alignment horizontal="right"/>
    </xf>
    <xf numFmtId="180" fontId="0" fillId="0" borderId="0" xfId="0" applyNumberFormat="1"/>
    <xf numFmtId="171" fontId="19" fillId="0" borderId="0" xfId="0" applyNumberFormat="1" applyFont="1"/>
    <xf numFmtId="167" fontId="19" fillId="0" borderId="0" xfId="0" applyNumberFormat="1" applyFont="1" applyAlignment="1">
      <alignment horizontal="right"/>
    </xf>
    <xf numFmtId="9" fontId="8" fillId="0" borderId="0" xfId="0" applyNumberFormat="1" applyFont="1"/>
    <xf numFmtId="181" fontId="8" fillId="0" borderId="0" xfId="0" applyNumberFormat="1" applyFont="1"/>
    <xf numFmtId="167" fontId="2" fillId="0" borderId="11" xfId="0" applyNumberFormat="1" applyFont="1" applyBorder="1"/>
    <xf numFmtId="173" fontId="19" fillId="0" borderId="0" xfId="0" applyNumberFormat="1" applyFont="1"/>
    <xf numFmtId="173" fontId="0" fillId="0" borderId="0" xfId="0" applyNumberFormat="1"/>
    <xf numFmtId="168" fontId="8" fillId="0" borderId="0" xfId="0" applyNumberFormat="1" applyFont="1" applyAlignment="1"/>
    <xf numFmtId="168" fontId="0" fillId="0" borderId="4" xfId="0" applyNumberFormat="1" applyBorder="1"/>
    <xf numFmtId="168" fontId="2" fillId="0" borderId="0" xfId="0" applyNumberFormat="1" applyFont="1"/>
    <xf numFmtId="0" fontId="4" fillId="0" borderId="0" xfId="0" applyFont="1" applyFill="1" applyBorder="1"/>
    <xf numFmtId="0" fontId="4" fillId="0" borderId="2" xfId="0" applyFont="1" applyFill="1" applyBorder="1"/>
    <xf numFmtId="171" fontId="4" fillId="0" borderId="0" xfId="0" applyNumberFormat="1" applyFont="1"/>
    <xf numFmtId="171" fontId="4" fillId="0" borderId="2" xfId="0" applyNumberFormat="1" applyFont="1" applyBorder="1"/>
    <xf numFmtId="166" fontId="2" fillId="3" borderId="12" xfId="0" applyNumberFormat="1" applyFont="1" applyFill="1" applyBorder="1" applyAlignment="1">
      <alignment horizontal="centerContinuous"/>
    </xf>
    <xf numFmtId="14" fontId="2" fillId="3" borderId="2" xfId="0" applyNumberFormat="1" applyFont="1" applyFill="1" applyBorder="1" applyAlignment="1">
      <alignment horizontal="centerContinuous"/>
    </xf>
    <xf numFmtId="0" fontId="2" fillId="0" borderId="13" xfId="0" applyFont="1" applyFill="1" applyBorder="1"/>
    <xf numFmtId="0" fontId="0" fillId="0" borderId="1" xfId="0" applyBorder="1" applyAlignment="1">
      <alignment horizontal="right"/>
    </xf>
    <xf numFmtId="167" fontId="19" fillId="0" borderId="2" xfId="0" applyNumberFormat="1" applyFont="1" applyBorder="1"/>
    <xf numFmtId="167" fontId="0" fillId="0" borderId="17" xfId="0" applyNumberFormat="1" applyBorder="1"/>
    <xf numFmtId="167" fontId="0" fillId="0" borderId="18" xfId="0" applyNumberFormat="1" applyBorder="1"/>
    <xf numFmtId="167" fontId="2" fillId="0" borderId="18" xfId="0" applyNumberFormat="1" applyFont="1" applyBorder="1"/>
    <xf numFmtId="167" fontId="0" fillId="0" borderId="20" xfId="0" applyNumberFormat="1" applyBorder="1"/>
    <xf numFmtId="167" fontId="0" fillId="0" borderId="15" xfId="0" applyNumberFormat="1" applyBorder="1"/>
    <xf numFmtId="167" fontId="0" fillId="0" borderId="9" xfId="0" applyNumberFormat="1" applyBorder="1"/>
    <xf numFmtId="167" fontId="2" fillId="0" borderId="9" xfId="0" applyNumberFormat="1" applyFont="1" applyBorder="1"/>
    <xf numFmtId="180" fontId="0" fillId="0" borderId="9" xfId="0" applyNumberFormat="1" applyBorder="1"/>
    <xf numFmtId="180" fontId="0" fillId="0" borderId="18" xfId="0" applyNumberFormat="1" applyBorder="1"/>
    <xf numFmtId="171" fontId="0" fillId="0" borderId="16" xfId="0" applyNumberFormat="1" applyBorder="1"/>
    <xf numFmtId="171" fontId="0" fillId="0" borderId="19" xfId="0" applyNumberFormat="1" applyBorder="1"/>
    <xf numFmtId="168" fontId="0" fillId="0" borderId="3" xfId="0" applyNumberFormat="1" applyBorder="1"/>
    <xf numFmtId="168" fontId="3" fillId="0" borderId="3" xfId="0" applyNumberFormat="1" applyFont="1" applyBorder="1"/>
    <xf numFmtId="0" fontId="0" fillId="3" borderId="12" xfId="0" applyFill="1" applyBorder="1" applyAlignment="1">
      <alignment horizontal="centerContinuous"/>
    </xf>
    <xf numFmtId="0" fontId="2" fillId="3" borderId="2" xfId="0" applyFont="1" applyFill="1" applyBorder="1" applyAlignment="1">
      <alignment horizontal="centerContinuous"/>
    </xf>
    <xf numFmtId="0" fontId="0" fillId="3" borderId="2" xfId="0" applyFill="1" applyBorder="1" applyAlignment="1">
      <alignment horizontal="centerContinuous"/>
    </xf>
    <xf numFmtId="170" fontId="8" fillId="0" borderId="0" xfId="0" applyNumberFormat="1" applyFont="1" applyAlignment="1">
      <alignment horizontal="right"/>
    </xf>
    <xf numFmtId="167" fontId="20" fillId="0" borderId="0" xfId="0" applyNumberFormat="1" applyFont="1"/>
    <xf numFmtId="0" fontId="8" fillId="3" borderId="1" xfId="0" applyFont="1" applyFill="1" applyBorder="1" applyAlignment="1">
      <alignment horizontal="centerContinuous"/>
    </xf>
    <xf numFmtId="0" fontId="16" fillId="3" borderId="1" xfId="0" applyFont="1" applyFill="1" applyBorder="1" applyAlignment="1">
      <alignment horizontal="centerContinuous"/>
    </xf>
    <xf numFmtId="14" fontId="20" fillId="3" borderId="0" xfId="0" applyNumberFormat="1" applyFont="1" applyFill="1" applyAlignment="1">
      <alignment horizontal="centerContinuous"/>
    </xf>
    <xf numFmtId="173" fontId="2" fillId="3" borderId="0" xfId="0" applyNumberFormat="1" applyFont="1" applyFill="1" applyAlignment="1">
      <alignment horizontal="centerContinuous"/>
    </xf>
    <xf numFmtId="0" fontId="16" fillId="3" borderId="0" xfId="0" applyFont="1" applyFill="1" applyAlignment="1">
      <alignment horizontal="centerContinuous"/>
    </xf>
    <xf numFmtId="167" fontId="19" fillId="0" borderId="0" xfId="0" applyNumberFormat="1" applyFont="1" applyBorder="1"/>
    <xf numFmtId="9" fontId="16" fillId="0" borderId="9" xfId="0" applyNumberFormat="1" applyFont="1" applyBorder="1"/>
    <xf numFmtId="9" fontId="17" fillId="0" borderId="9" xfId="0" applyNumberFormat="1" applyFont="1" applyBorder="1"/>
    <xf numFmtId="170" fontId="16" fillId="0" borderId="4" xfId="0" applyNumberFormat="1" applyFont="1" applyBorder="1"/>
    <xf numFmtId="170" fontId="17" fillId="0" borderId="4" xfId="0" applyNumberFormat="1" applyFont="1" applyBorder="1"/>
    <xf numFmtId="171" fontId="16" fillId="0" borderId="4" xfId="0" applyNumberFormat="1" applyFont="1" applyBorder="1"/>
    <xf numFmtId="171" fontId="17" fillId="0" borderId="4" xfId="0" applyNumberFormat="1" applyFont="1" applyBorder="1"/>
    <xf numFmtId="0" fontId="2" fillId="0" borderId="0" xfId="0" applyFont="1" applyAlignment="1">
      <alignment horizontal="centerContinuous"/>
    </xf>
    <xf numFmtId="167" fontId="19" fillId="0" borderId="16" xfId="0" applyNumberFormat="1" applyFont="1" applyBorder="1"/>
    <xf numFmtId="167" fontId="8" fillId="0" borderId="9" xfId="0" applyNumberFormat="1" applyFont="1" applyBorder="1"/>
    <xf numFmtId="167" fontId="19" fillId="0" borderId="9" xfId="0" applyNumberFormat="1" applyFont="1" applyBorder="1"/>
    <xf numFmtId="171" fontId="21" fillId="0" borderId="0" xfId="0" applyNumberFormat="1" applyFont="1"/>
    <xf numFmtId="167" fontId="0" fillId="0" borderId="2" xfId="0" applyNumberFormat="1" applyFont="1" applyBorder="1"/>
    <xf numFmtId="167" fontId="4" fillId="0" borderId="0" xfId="0" applyNumberFormat="1" applyFont="1" applyBorder="1"/>
    <xf numFmtId="170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1DADA77-6387-4FCA-B3E3-B08E91B98525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EB14A-B8E5-43CD-A605-40133CA2F255}">
  <dimension ref="C2:R76"/>
  <sheetViews>
    <sheetView showGridLines="0" tabSelected="1" zoomScale="91" zoomScaleNormal="85" workbookViewId="0"/>
  </sheetViews>
  <sheetFormatPr defaultRowHeight="15" x14ac:dyDescent="0.25"/>
  <cols>
    <col min="1" max="2" width="2.140625" customWidth="1"/>
    <col min="3" max="3" width="50.7109375" customWidth="1"/>
    <col min="4" max="4" width="16.42578125" customWidth="1"/>
    <col min="5" max="5" width="5.140625" customWidth="1"/>
    <col min="6" max="6" width="42.85546875" customWidth="1"/>
    <col min="7" max="7" width="16.42578125" customWidth="1"/>
    <col min="8" max="8" width="5.140625" customWidth="1"/>
    <col min="9" max="9" width="50.7109375" customWidth="1"/>
    <col min="10" max="10" width="12.28515625" customWidth="1"/>
    <col min="11" max="11" width="9.85546875" customWidth="1"/>
    <col min="12" max="17" width="12.28515625" customWidth="1"/>
    <col min="16378" max="16378" width="9.140625" customWidth="1"/>
  </cols>
  <sheetData>
    <row r="2" spans="3:17" ht="19.5" x14ac:dyDescent="0.3">
      <c r="C2" s="22" t="s">
        <v>0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4"/>
    </row>
    <row r="3" spans="3:17" x14ac:dyDescent="0.25">
      <c r="C3" s="25" t="s">
        <v>101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26"/>
    </row>
    <row r="5" spans="3:17" x14ac:dyDescent="0.25">
      <c r="C5" s="2" t="s">
        <v>2</v>
      </c>
      <c r="D5" s="21">
        <v>46104</v>
      </c>
    </row>
    <row r="6" spans="3:17" x14ac:dyDescent="0.25">
      <c r="C6" s="2" t="s">
        <v>1</v>
      </c>
      <c r="D6" s="9" t="s">
        <v>259</v>
      </c>
    </row>
    <row r="8" spans="3:17" x14ac:dyDescent="0.25">
      <c r="C8" s="14" t="s">
        <v>13</v>
      </c>
      <c r="D8" s="15"/>
      <c r="F8" s="14" t="s">
        <v>39</v>
      </c>
      <c r="G8" s="15"/>
      <c r="I8" s="14" t="s">
        <v>77</v>
      </c>
      <c r="J8" s="16"/>
      <c r="K8" s="16"/>
      <c r="L8" s="16"/>
      <c r="M8" s="16"/>
      <c r="N8" s="16"/>
      <c r="O8" s="16"/>
      <c r="P8" s="16"/>
      <c r="Q8" s="15"/>
    </row>
    <row r="10" spans="3:17" x14ac:dyDescent="0.25">
      <c r="C10" s="18" t="s">
        <v>3</v>
      </c>
      <c r="D10" s="19"/>
      <c r="F10" s="18" t="s">
        <v>40</v>
      </c>
      <c r="G10" s="19"/>
      <c r="I10" s="20" t="s">
        <v>78</v>
      </c>
      <c r="J10" s="9" t="s">
        <v>296</v>
      </c>
      <c r="L10" s="3"/>
      <c r="M10" s="3">
        <v>2026</v>
      </c>
      <c r="N10" s="3">
        <v>2027</v>
      </c>
      <c r="O10" s="3">
        <v>2028</v>
      </c>
      <c r="P10" s="3">
        <v>2029</v>
      </c>
      <c r="Q10" s="3">
        <v>2030</v>
      </c>
    </row>
    <row r="11" spans="3:17" x14ac:dyDescent="0.25">
      <c r="C11" t="s">
        <v>4</v>
      </c>
      <c r="D11" s="50" t="s">
        <v>99</v>
      </c>
      <c r="F11" t="s">
        <v>42</v>
      </c>
      <c r="G11" s="28">
        <f>D50</f>
        <v>22983.533836265695</v>
      </c>
      <c r="L11" s="8"/>
      <c r="M11" s="8">
        <f>EOMONTH(L11,12)</f>
        <v>397</v>
      </c>
      <c r="N11" s="8">
        <f t="shared" ref="N11:Q11" si="0">EOMONTH(M11,12)</f>
        <v>762</v>
      </c>
      <c r="O11" s="8">
        <f t="shared" si="0"/>
        <v>1127</v>
      </c>
      <c r="P11" s="8">
        <f t="shared" si="0"/>
        <v>1492</v>
      </c>
      <c r="Q11" s="8">
        <f t="shared" si="0"/>
        <v>1858</v>
      </c>
    </row>
    <row r="12" spans="3:17" x14ac:dyDescent="0.25">
      <c r="C12" t="s">
        <v>5</v>
      </c>
      <c r="D12" s="44" t="s">
        <v>161</v>
      </c>
      <c r="F12" t="s">
        <v>43</v>
      </c>
      <c r="G12" s="28">
        <f>D55</f>
        <v>32428</v>
      </c>
      <c r="I12" s="2" t="s">
        <v>3</v>
      </c>
    </row>
    <row r="13" spans="3:17" x14ac:dyDescent="0.25">
      <c r="C13" t="s">
        <v>102</v>
      </c>
      <c r="D13" s="45">
        <v>46022</v>
      </c>
      <c r="F13" t="s">
        <v>44</v>
      </c>
      <c r="G13" s="28">
        <f>D51</f>
        <v>5745.8834590664219</v>
      </c>
      <c r="I13" t="s">
        <v>79</v>
      </c>
      <c r="L13" s="93"/>
      <c r="M13" s="93">
        <f ca="1">'Acquirer Financials'!I27</f>
        <v>13536.447349495998</v>
      </c>
      <c r="N13" s="93">
        <f ca="1">'Acquirer Financials'!J27</f>
        <v>15881.033121475233</v>
      </c>
      <c r="O13" s="93">
        <f ca="1">'Acquirer Financials'!K27</f>
        <v>18161.911421124987</v>
      </c>
      <c r="P13" s="93">
        <f ca="1">'Acquirer Financials'!L27</f>
        <v>20333.340430977343</v>
      </c>
      <c r="Q13" s="93">
        <f ca="1">'Acquirer Financials'!M27</f>
        <v>22816.335540145032</v>
      </c>
    </row>
    <row r="14" spans="3:17" x14ac:dyDescent="0.25">
      <c r="C14" t="s">
        <v>6</v>
      </c>
      <c r="D14" s="45">
        <v>46045</v>
      </c>
      <c r="F14" t="s">
        <v>45</v>
      </c>
      <c r="G14" s="28">
        <f>D31*D28</f>
        <v>43094.125942998166</v>
      </c>
      <c r="I14" t="str">
        <f>J10</f>
        <v>GAAP EPS</v>
      </c>
      <c r="L14" s="31"/>
      <c r="M14" s="31">
        <f ca="1">IF($J$10="GAAP EPS",'Acquirer Financials'!I227,'Acquirer Financials'!I234)</f>
        <v>3.1926939443081284</v>
      </c>
      <c r="N14" s="31">
        <f ca="1">IF($J$10="GAAP EPS",'Acquirer Financials'!J227,'Acquirer Financials'!J234)</f>
        <v>3.7406186551424736</v>
      </c>
      <c r="O14" s="31">
        <f ca="1">IF($J$10="GAAP EPS",'Acquirer Financials'!K227,'Acquirer Financials'!K234)</f>
        <v>4.2736666783022281</v>
      </c>
      <c r="P14" s="31">
        <f ca="1">IF($J$10="GAAP EPS",'Acquirer Financials'!L227,'Acquirer Financials'!L234)</f>
        <v>4.7811343473376846</v>
      </c>
      <c r="Q14" s="31">
        <f ca="1">IF($J$10="GAAP EPS",'Acquirer Financials'!M227,'Acquirer Financials'!M234)</f>
        <v>5.3614511383615806</v>
      </c>
    </row>
    <row r="15" spans="3:17" x14ac:dyDescent="0.25">
      <c r="C15" t="s">
        <v>7</v>
      </c>
      <c r="D15" s="44" t="s">
        <v>162</v>
      </c>
      <c r="F15" s="1" t="s">
        <v>46</v>
      </c>
      <c r="G15" s="29">
        <f>D39+D63</f>
        <v>636.17538537297992</v>
      </c>
      <c r="I15" t="s">
        <v>167</v>
      </c>
      <c r="L15" s="93"/>
      <c r="M15" s="93">
        <f ca="1">'Acquirer Financials'!I226</f>
        <v>4239.8199093365993</v>
      </c>
      <c r="N15" s="93">
        <f ca="1">'Acquirer Financials'!J226</f>
        <v>4245.563257201462</v>
      </c>
      <c r="O15" s="93">
        <f ca="1">'Acquirer Financials'!K226</f>
        <v>4249.7257713931149</v>
      </c>
      <c r="P15" s="93">
        <f ca="1">'Acquirer Financials'!L226</f>
        <v>4252.8276667857517</v>
      </c>
      <c r="Q15" s="93">
        <f ca="1">'Acquirer Financials'!M226</f>
        <v>4255.6268725256969</v>
      </c>
    </row>
    <row r="16" spans="3:17" x14ac:dyDescent="0.25">
      <c r="C16" t="s">
        <v>8</v>
      </c>
      <c r="D16" s="136">
        <v>93.38</v>
      </c>
      <c r="F16" s="17" t="s">
        <v>47</v>
      </c>
      <c r="G16" s="105">
        <f>SUM(G11:G15)</f>
        <v>104887.71862370326</v>
      </c>
    </row>
    <row r="17" spans="3:17" x14ac:dyDescent="0.25">
      <c r="I17" s="2" t="s">
        <v>9</v>
      </c>
    </row>
    <row r="18" spans="3:17" x14ac:dyDescent="0.25">
      <c r="C18" s="18" t="s">
        <v>9</v>
      </c>
      <c r="D18" s="19"/>
      <c r="F18" s="18" t="s">
        <v>41</v>
      </c>
      <c r="G18" s="19"/>
      <c r="I18" t="s">
        <v>79</v>
      </c>
      <c r="L18" s="93"/>
      <c r="M18" s="93">
        <f ca="1">'Target Financials'!I31</f>
        <v>-477.39566390218528</v>
      </c>
      <c r="N18" s="93">
        <f ca="1">'Target Financials'!J31</f>
        <v>939.9418371674941</v>
      </c>
      <c r="O18" s="93">
        <f ca="1">'Target Financials'!K31</f>
        <v>1277.1120984183758</v>
      </c>
      <c r="P18" s="93">
        <f ca="1">'Target Financials'!L31</f>
        <v>1605.2706000196808</v>
      </c>
      <c r="Q18" s="93">
        <f ca="1">'Target Financials'!M31</f>
        <v>1775.7290042695256</v>
      </c>
    </row>
    <row r="19" spans="3:17" x14ac:dyDescent="0.25">
      <c r="C19" t="s">
        <v>4</v>
      </c>
      <c r="D19" s="50" t="s">
        <v>100</v>
      </c>
      <c r="F19" t="s">
        <v>48</v>
      </c>
      <c r="G19" s="28">
        <f>D16*D33</f>
        <v>43094.125942998166</v>
      </c>
      <c r="I19" t="str">
        <f>J10</f>
        <v>GAAP EPS</v>
      </c>
      <c r="L19" s="31"/>
      <c r="M19" s="31">
        <f ca="1">IF($J$10="GAAP EPS",'Target Financials'!I255,'Target Financials'!I261)</f>
        <v>-0.18315193168195418</v>
      </c>
      <c r="N19" s="31">
        <f ca="1">IF($J$10="GAAP EPS",'Target Financials'!J255,'Target Financials'!J261)</f>
        <v>0.36539539604414217</v>
      </c>
      <c r="O19" s="31">
        <f ca="1">IF($J$10="GAAP EPS",'Target Financials'!K255,'Target Financials'!K261)</f>
        <v>0.4904641463334482</v>
      </c>
      <c r="P19" s="31">
        <f ca="1">IF($J$10="GAAP EPS",'Target Financials'!L255,'Target Financials'!L261)</f>
        <v>0.61715747564052703</v>
      </c>
      <c r="Q19" s="31">
        <f ca="1">IF($J$10="GAAP EPS",'Target Financials'!M255,'Target Financials'!M261)</f>
        <v>0.68309406469035738</v>
      </c>
    </row>
    <row r="20" spans="3:17" x14ac:dyDescent="0.25">
      <c r="C20" t="s">
        <v>5</v>
      </c>
      <c r="D20" s="44" t="s">
        <v>163</v>
      </c>
      <c r="F20" t="s">
        <v>49</v>
      </c>
      <c r="G20" s="28">
        <f>D32*D28</f>
        <v>28729.417295332114</v>
      </c>
      <c r="I20" t="s">
        <v>167</v>
      </c>
      <c r="L20" s="93"/>
      <c r="M20" s="93">
        <f>'Target Financials'!I254</f>
        <v>2606.5554401642312</v>
      </c>
      <c r="N20" s="93">
        <f ca="1">'Target Financials'!J254</f>
        <v>2572.3964979951279</v>
      </c>
      <c r="O20" s="93">
        <f ca="1">'Target Financials'!K254</f>
        <v>2603.8847242263355</v>
      </c>
      <c r="P20" s="93">
        <f ca="1">'Target Financials'!L254</f>
        <v>2601.0713041329109</v>
      </c>
      <c r="Q20" s="93">
        <f ca="1">'Target Financials'!M254</f>
        <v>2599.5380373776975</v>
      </c>
    </row>
    <row r="21" spans="3:17" x14ac:dyDescent="0.25">
      <c r="C21" t="s">
        <v>102</v>
      </c>
      <c r="D21" s="45">
        <v>46022</v>
      </c>
      <c r="F21" t="s">
        <v>50</v>
      </c>
      <c r="G21" s="28">
        <f>D55</f>
        <v>32428</v>
      </c>
    </row>
    <row r="22" spans="3:17" x14ac:dyDescent="0.25">
      <c r="C22" t="s">
        <v>6</v>
      </c>
      <c r="D22" s="45">
        <v>46080</v>
      </c>
      <c r="F22" t="s">
        <v>52</v>
      </c>
      <c r="G22" s="28">
        <f>D39</f>
        <v>359.11771619165143</v>
      </c>
      <c r="I22" s="2" t="s">
        <v>91</v>
      </c>
    </row>
    <row r="23" spans="3:17" x14ac:dyDescent="0.25">
      <c r="C23" t="s">
        <v>7</v>
      </c>
      <c r="D23" s="44" t="s">
        <v>162</v>
      </c>
      <c r="F23" s="1" t="s">
        <v>36</v>
      </c>
      <c r="G23" s="29">
        <f>D63</f>
        <v>277.05766918132844</v>
      </c>
      <c r="I23" t="s">
        <v>80</v>
      </c>
      <c r="L23" s="28"/>
      <c r="M23" s="28">
        <f t="shared" ref="M23:Q23" si="1">-$D$56*$D$65</f>
        <v>-2864.1500157226587</v>
      </c>
      <c r="N23" s="28">
        <f t="shared" si="1"/>
        <v>-2864.1500157226587</v>
      </c>
      <c r="O23" s="28">
        <f t="shared" si="1"/>
        <v>-2864.1500157226587</v>
      </c>
      <c r="P23" s="28">
        <f t="shared" si="1"/>
        <v>-2864.1500157226587</v>
      </c>
      <c r="Q23" s="28">
        <f t="shared" si="1"/>
        <v>-2864.1500157226587</v>
      </c>
    </row>
    <row r="24" spans="3:17" x14ac:dyDescent="0.25">
      <c r="C24" t="s">
        <v>8</v>
      </c>
      <c r="D24" s="136">
        <v>27.4</v>
      </c>
      <c r="F24" s="17" t="s">
        <v>51</v>
      </c>
      <c r="G24" s="105">
        <f>SUM(G19:G23)</f>
        <v>104887.71862370327</v>
      </c>
      <c r="I24" t="s">
        <v>81</v>
      </c>
      <c r="L24" s="28"/>
      <c r="M24" s="28">
        <f>-($G$15+$G$13)*$D$66</f>
        <v>-201.94116314411986</v>
      </c>
      <c r="N24" s="28">
        <f>-($G$15+$G$13)*$D$66</f>
        <v>-201.94116314411986</v>
      </c>
      <c r="O24" s="28">
        <f>-($G$15+$G$13)*$D$66</f>
        <v>-201.94116314411986</v>
      </c>
      <c r="P24" s="28">
        <f>-($G$15+$G$13)*$D$66</f>
        <v>-201.94116314411986</v>
      </c>
      <c r="Q24" s="28">
        <f>-($G$15+$G$13)*$D$66</f>
        <v>-201.94116314411986</v>
      </c>
    </row>
    <row r="25" spans="3:17" x14ac:dyDescent="0.25">
      <c r="C25" t="s">
        <v>10</v>
      </c>
      <c r="D25" s="49">
        <f>D26/D24-1</f>
        <v>1.2773722627737349E-2</v>
      </c>
      <c r="I25" t="s">
        <v>82</v>
      </c>
      <c r="L25" s="28"/>
      <c r="M25" s="28">
        <f t="shared" ref="M25:Q25" si="2">$D$40</f>
        <v>3000</v>
      </c>
      <c r="N25" s="28">
        <f t="shared" si="2"/>
        <v>3000</v>
      </c>
      <c r="O25" s="28">
        <f t="shared" si="2"/>
        <v>3000</v>
      </c>
      <c r="P25" s="28">
        <f t="shared" si="2"/>
        <v>3000</v>
      </c>
      <c r="Q25" s="28">
        <f t="shared" si="2"/>
        <v>3000</v>
      </c>
    </row>
    <row r="26" spans="3:17" x14ac:dyDescent="0.25">
      <c r="C26" t="s">
        <v>11</v>
      </c>
      <c r="D26" s="136">
        <v>27.75</v>
      </c>
      <c r="I26" t="s">
        <v>83</v>
      </c>
      <c r="L26" s="28"/>
      <c r="M26" s="28">
        <f t="shared" ref="M26:Q26" si="3">IF($J$10="GAAP EPS",-($G$34+$G$41),0)</f>
        <v>-5251.2725292968744</v>
      </c>
      <c r="N26" s="28">
        <f t="shared" si="3"/>
        <v>-5251.2725292968744</v>
      </c>
      <c r="O26" s="28">
        <f t="shared" si="3"/>
        <v>-5251.2725292968744</v>
      </c>
      <c r="P26" s="28">
        <f t="shared" si="3"/>
        <v>-5251.2725292968744</v>
      </c>
      <c r="Q26" s="28">
        <f t="shared" si="3"/>
        <v>-5251.2725292968744</v>
      </c>
    </row>
    <row r="27" spans="3:17" x14ac:dyDescent="0.25">
      <c r="C27" t="s">
        <v>12</v>
      </c>
      <c r="D27" s="102">
        <f>Shares!G31</f>
        <v>2588.2357923722625</v>
      </c>
      <c r="F27" s="14" t="s">
        <v>53</v>
      </c>
      <c r="G27" s="15"/>
      <c r="I27" s="1" t="s">
        <v>84</v>
      </c>
      <c r="J27" s="1"/>
      <c r="K27" s="1"/>
      <c r="L27" s="29"/>
      <c r="M27" s="29">
        <f>-SUM(M23:M26)*$D$44</f>
        <v>753.47043744678967</v>
      </c>
      <c r="N27" s="29">
        <f>-SUM(N23:N26)*$D$44</f>
        <v>753.47043744678967</v>
      </c>
      <c r="O27" s="29">
        <f>-SUM(O23:O26)*$D$44</f>
        <v>753.47043744678967</v>
      </c>
      <c r="P27" s="29">
        <f>-SUM(P23:P26)*$D$44</f>
        <v>753.47043744678967</v>
      </c>
      <c r="Q27" s="29">
        <f>-SUM(Q23:Q26)*$D$44</f>
        <v>753.47043744678967</v>
      </c>
    </row>
    <row r="28" spans="3:17" x14ac:dyDescent="0.25">
      <c r="C28" t="s">
        <v>172</v>
      </c>
      <c r="D28" s="99">
        <f>D26*D27</f>
        <v>71823.543238330283</v>
      </c>
      <c r="I28" s="75" t="s">
        <v>85</v>
      </c>
      <c r="L28" s="74"/>
      <c r="M28" s="74">
        <f t="shared" ref="M28:Q28" si="4">SUM(M23:M27)</f>
        <v>-4563.8932707168642</v>
      </c>
      <c r="N28" s="74">
        <f t="shared" si="4"/>
        <v>-4563.8932707168642</v>
      </c>
      <c r="O28" s="74">
        <f t="shared" si="4"/>
        <v>-4563.8932707168642</v>
      </c>
      <c r="P28" s="74">
        <f t="shared" si="4"/>
        <v>-4563.8932707168642</v>
      </c>
      <c r="Q28" s="74">
        <f t="shared" si="4"/>
        <v>-4563.8932707168642</v>
      </c>
    </row>
    <row r="29" spans="3:17" x14ac:dyDescent="0.25">
      <c r="F29" s="18" t="s">
        <v>54</v>
      </c>
      <c r="G29" s="19"/>
    </row>
    <row r="30" spans="3:17" x14ac:dyDescent="0.25">
      <c r="C30" s="18" t="s">
        <v>14</v>
      </c>
      <c r="D30" s="19"/>
      <c r="F30" t="s">
        <v>55</v>
      </c>
      <c r="G30" s="93">
        <f>'Target Financials'!I62</f>
        <v>6691.2316898930185</v>
      </c>
      <c r="I30" s="2" t="str">
        <f>"Pro Forma "&amp;LEFT(J10,FIND(" ",J10)-1)&amp;" Net Income"</f>
        <v>Pro Forma GAAP Net Income</v>
      </c>
      <c r="L30" s="137"/>
      <c r="M30" s="137">
        <f ca="1">'Pro Forma Financials'!D31</f>
        <v>10986.365751411049</v>
      </c>
      <c r="N30" s="137">
        <f ca="1">'Pro Forma Financials'!E31</f>
        <v>15216.942848209514</v>
      </c>
      <c r="O30" s="137">
        <f ca="1">'Pro Forma Financials'!F31</f>
        <v>17923.849947746006</v>
      </c>
      <c r="P30" s="137">
        <f ca="1">'Pro Forma Financials'!G31</f>
        <v>20473.027499281554</v>
      </c>
      <c r="Q30" s="137">
        <f ca="1">'Pro Forma Financials'!H31</f>
        <v>23150.510275275301</v>
      </c>
    </row>
    <row r="31" spans="3:17" x14ac:dyDescent="0.25">
      <c r="C31" t="s">
        <v>15</v>
      </c>
      <c r="D31" s="48">
        <v>0.6</v>
      </c>
      <c r="F31" t="s">
        <v>56</v>
      </c>
      <c r="G31" s="53">
        <v>0.2</v>
      </c>
      <c r="I31" t="s">
        <v>86</v>
      </c>
      <c r="L31" s="28"/>
      <c r="M31" s="28">
        <f t="shared" ref="M31:Q31" ca="1" si="5">M15+$D$33</f>
        <v>4701.3119412813212</v>
      </c>
      <c r="N31" s="28">
        <f t="shared" ca="1" si="5"/>
        <v>4707.0552891461839</v>
      </c>
      <c r="O31" s="28">
        <f t="shared" ca="1" si="5"/>
        <v>4711.2178033378368</v>
      </c>
      <c r="P31" s="28">
        <f t="shared" ca="1" si="5"/>
        <v>4714.3196987304736</v>
      </c>
      <c r="Q31" s="28">
        <f t="shared" ca="1" si="5"/>
        <v>4717.1189044704188</v>
      </c>
    </row>
    <row r="32" spans="3:17" x14ac:dyDescent="0.25">
      <c r="C32" t="s">
        <v>16</v>
      </c>
      <c r="D32" s="46">
        <f>1-D31</f>
        <v>0.4</v>
      </c>
      <c r="F32" t="s">
        <v>57</v>
      </c>
      <c r="G32" s="28">
        <f>G30*G31</f>
        <v>1338.2463379786038</v>
      </c>
    </row>
    <row r="33" spans="3:18" x14ac:dyDescent="0.25">
      <c r="C33" t="s">
        <v>17</v>
      </c>
      <c r="D33" s="28">
        <f>D31*D28/D16</f>
        <v>461.49203194472227</v>
      </c>
      <c r="F33" t="s">
        <v>58</v>
      </c>
      <c r="G33" s="106">
        <f>'Target Financials'!D188</f>
        <v>8</v>
      </c>
      <c r="I33" s="4" t="str">
        <f>"Pro forma "&amp;J10</f>
        <v>Pro forma GAAP EPS</v>
      </c>
      <c r="J33" s="5"/>
      <c r="K33" s="5"/>
      <c r="L33" s="109"/>
      <c r="M33" s="109">
        <f t="shared" ref="M33:Q33" ca="1" si="6">M30/M31</f>
        <v>2.3368723217325513</v>
      </c>
      <c r="N33" s="109">
        <f t="shared" ca="1" si="6"/>
        <v>3.232794584609548</v>
      </c>
      <c r="O33" s="109">
        <f t="shared" ca="1" si="6"/>
        <v>3.8045046304263814</v>
      </c>
      <c r="P33" s="109">
        <f t="shared" ca="1" si="6"/>
        <v>4.3427321029574566</v>
      </c>
      <c r="Q33" s="109">
        <f t="shared" ca="1" si="6"/>
        <v>4.9077648336011919</v>
      </c>
      <c r="R33" s="6"/>
    </row>
    <row r="34" spans="3:18" x14ac:dyDescent="0.25">
      <c r="C34" t="s">
        <v>18</v>
      </c>
      <c r="D34" s="100">
        <f>D26/D16</f>
        <v>0.29717284215035339</v>
      </c>
      <c r="F34" t="s">
        <v>59</v>
      </c>
      <c r="G34" s="28">
        <f>G32/G33</f>
        <v>167.28079224732548</v>
      </c>
      <c r="I34" s="6" t="s">
        <v>87</v>
      </c>
      <c r="L34" s="31"/>
      <c r="M34" s="31">
        <f t="shared" ref="M34:Q34" ca="1" si="7">M14</f>
        <v>3.1926939443081284</v>
      </c>
      <c r="N34" s="31">
        <f t="shared" ca="1" si="7"/>
        <v>3.7406186551424736</v>
      </c>
      <c r="O34" s="31">
        <f t="shared" ca="1" si="7"/>
        <v>4.2736666783022281</v>
      </c>
      <c r="P34" s="31">
        <f t="shared" ca="1" si="7"/>
        <v>4.7811343473376846</v>
      </c>
      <c r="Q34" s="31">
        <f t="shared" ca="1" si="7"/>
        <v>5.3614511383615806</v>
      </c>
      <c r="R34" s="6"/>
    </row>
    <row r="35" spans="3:18" x14ac:dyDescent="0.25">
      <c r="C35" t="s">
        <v>19</v>
      </c>
      <c r="D35" s="100">
        <f>D31*D26/D16</f>
        <v>0.17830370529021203</v>
      </c>
      <c r="F35" t="s">
        <v>60</v>
      </c>
      <c r="G35" s="28">
        <f>IF($D$6="Stock sale",G32*D44,0)</f>
        <v>189.62950609156815</v>
      </c>
      <c r="I35" s="12" t="s">
        <v>88</v>
      </c>
      <c r="L35" s="110"/>
      <c r="M35" s="110">
        <f t="shared" ref="M35:Q35" ca="1" si="8">M33-M34</f>
        <v>-0.85582162257557703</v>
      </c>
      <c r="N35" s="110">
        <f t="shared" ca="1" si="8"/>
        <v>-0.50782407053292555</v>
      </c>
      <c r="O35" s="110">
        <f t="shared" ca="1" si="8"/>
        <v>-0.4691620478758467</v>
      </c>
      <c r="P35" s="110">
        <f t="shared" ca="1" si="8"/>
        <v>-0.43840224438022801</v>
      </c>
      <c r="Q35" s="110">
        <f t="shared" ca="1" si="8"/>
        <v>-0.45368630476038874</v>
      </c>
      <c r="R35" s="6"/>
    </row>
    <row r="36" spans="3:18" x14ac:dyDescent="0.25">
      <c r="I36" s="6" t="s">
        <v>89</v>
      </c>
      <c r="L36" s="51"/>
      <c r="M36" s="51">
        <f t="shared" ref="M36:Q36" ca="1" si="9">M35/M34</f>
        <v>-0.26805626768620239</v>
      </c>
      <c r="N36" s="51">
        <f t="shared" ca="1" si="9"/>
        <v>-0.13575938029255843</v>
      </c>
      <c r="O36" s="51">
        <f t="shared" ca="1" si="9"/>
        <v>-0.10977974727365207</v>
      </c>
      <c r="P36" s="51">
        <f t="shared" ca="1" si="9"/>
        <v>-9.1694190652548149E-2</v>
      </c>
      <c r="Q36" s="51">
        <f t="shared" ca="1" si="9"/>
        <v>-8.4620057714268726E-2</v>
      </c>
      <c r="R36" s="6"/>
    </row>
    <row r="37" spans="3:18" x14ac:dyDescent="0.25">
      <c r="C37" s="18" t="s">
        <v>20</v>
      </c>
      <c r="D37" s="19"/>
      <c r="F37" t="s">
        <v>61</v>
      </c>
      <c r="G37" s="93">
        <f>'Target Financials'!I64</f>
        <v>47049.129335585581</v>
      </c>
      <c r="I37" s="7" t="s">
        <v>90</v>
      </c>
      <c r="J37" s="1"/>
      <c r="K37" s="1"/>
      <c r="L37" s="29"/>
      <c r="M37" s="29">
        <f ca="1">MAX(0,-(M35*M31/(1-$D$44)))</f>
        <v>4687.7367049065779</v>
      </c>
      <c r="N37" s="29">
        <f ca="1">MAX(0,-(N35*N31/(1-$D$44)))</f>
        <v>2784.9889049956332</v>
      </c>
      <c r="O37" s="29">
        <f ca="1">MAX(0,-(O35*O31/(1-$D$44)))</f>
        <v>2575.2354568369192</v>
      </c>
      <c r="P37" s="29">
        <f ca="1">MAX(0,-(P35*P31/(1-$D$44)))</f>
        <v>2407.9789545023418</v>
      </c>
      <c r="Q37" s="29">
        <f ca="1">MAX(0,-(Q35*Q31/(1-$D$44)))</f>
        <v>2493.4081846493737</v>
      </c>
      <c r="R37" s="6"/>
    </row>
    <row r="38" spans="3:18" x14ac:dyDescent="0.25">
      <c r="C38" t="s">
        <v>21</v>
      </c>
      <c r="D38" s="53">
        <v>5.0000000000000001E-3</v>
      </c>
      <c r="F38" t="s">
        <v>56</v>
      </c>
      <c r="G38" s="53">
        <v>1.1000000000000001</v>
      </c>
    </row>
    <row r="39" spans="3:18" x14ac:dyDescent="0.25">
      <c r="C39" t="s">
        <v>22</v>
      </c>
      <c r="D39" s="28">
        <f>D38*D28</f>
        <v>359.11771619165143</v>
      </c>
      <c r="F39" t="s">
        <v>57</v>
      </c>
      <c r="G39" s="28">
        <f>G37*G38</f>
        <v>51754.042269144142</v>
      </c>
    </row>
    <row r="40" spans="3:18" x14ac:dyDescent="0.25">
      <c r="C40" t="s">
        <v>331</v>
      </c>
      <c r="D40" s="32">
        <v>3000</v>
      </c>
      <c r="F40" t="s">
        <v>58</v>
      </c>
      <c r="G40" s="107">
        <f>'Target Financials'!H64/-'Target Financials'!H206</f>
        <v>10.179804560260587</v>
      </c>
      <c r="I40" s="14" t="s">
        <v>92</v>
      </c>
      <c r="J40" s="16"/>
      <c r="K40" s="16"/>
      <c r="L40" s="16"/>
      <c r="M40" s="16"/>
      <c r="N40" s="16"/>
      <c r="O40" s="16"/>
      <c r="P40" s="16"/>
      <c r="Q40" s="15"/>
    </row>
    <row r="41" spans="3:18" x14ac:dyDescent="0.25">
      <c r="C41" t="s">
        <v>332</v>
      </c>
      <c r="D41" s="32">
        <v>2500</v>
      </c>
      <c r="F41" t="s">
        <v>62</v>
      </c>
      <c r="G41" s="28">
        <f>G39/G40</f>
        <v>5083.9917370495486</v>
      </c>
    </row>
    <row r="42" spans="3:18" x14ac:dyDescent="0.25">
      <c r="C42" t="s">
        <v>338</v>
      </c>
      <c r="D42" s="93">
        <f>'Acquirer Financials'!I36</f>
        <v>35249.95406108912</v>
      </c>
      <c r="F42" t="s">
        <v>60</v>
      </c>
      <c r="G42" s="28">
        <f>IF($D$6="Stock sale",G39*D44,0)</f>
        <v>7333.5477895377244</v>
      </c>
      <c r="I42" s="18" t="s">
        <v>93</v>
      </c>
      <c r="K42" s="2" t="s">
        <v>15</v>
      </c>
      <c r="L42" s="150" t="s">
        <v>94</v>
      </c>
      <c r="M42" s="150"/>
      <c r="N42" s="150"/>
      <c r="O42" s="150"/>
      <c r="P42" s="150"/>
      <c r="Q42" s="150"/>
    </row>
    <row r="43" spans="3:18" x14ac:dyDescent="0.25">
      <c r="C43" t="s">
        <v>339</v>
      </c>
      <c r="D43" s="93">
        <f>'Target Financials'!I39</f>
        <v>5658.6057505255249</v>
      </c>
      <c r="K43" s="132">
        <f ca="1">M35</f>
        <v>-0.85582162257557703</v>
      </c>
      <c r="L43" s="146">
        <v>18</v>
      </c>
      <c r="M43" s="147">
        <f>L43+4</f>
        <v>22</v>
      </c>
      <c r="N43" s="147">
        <f t="shared" ref="N43:Q43" si="10">M43+4</f>
        <v>26</v>
      </c>
      <c r="O43" s="147">
        <f t="shared" si="10"/>
        <v>30</v>
      </c>
      <c r="P43" s="147">
        <f t="shared" si="10"/>
        <v>34</v>
      </c>
      <c r="Q43" s="147">
        <f t="shared" si="10"/>
        <v>38</v>
      </c>
    </row>
    <row r="44" spans="3:18" x14ac:dyDescent="0.25">
      <c r="C44" t="s">
        <v>293</v>
      </c>
      <c r="D44" s="101">
        <f>'Acquirer Financials'!I48</f>
        <v>0.14169999999999999</v>
      </c>
      <c r="F44" s="18" t="s">
        <v>63</v>
      </c>
      <c r="G44" s="19"/>
      <c r="I44" t="s">
        <v>96</v>
      </c>
      <c r="K44" s="144">
        <v>1</v>
      </c>
      <c r="L44" s="131">
        <f t="dataTable" ref="L44:Q49" dt2D="1" dtr="1" r1="D26" r2="D31" ca="1"/>
        <v>-0.63896017424039853</v>
      </c>
      <c r="M44" s="109">
        <v>-0.70674581798887681</v>
      </c>
      <c r="N44" s="109">
        <v>-0.77150137530057616</v>
      </c>
      <c r="O44" s="109">
        <v>-0.83342557632269099</v>
      </c>
      <c r="P44" s="109">
        <v>-0.89270014454239499</v>
      </c>
      <c r="Q44" s="109">
        <v>-0.94949157789768801</v>
      </c>
    </row>
    <row r="45" spans="3:18" x14ac:dyDescent="0.25">
      <c r="C45" t="s">
        <v>294</v>
      </c>
      <c r="D45" s="101">
        <f>'Target Financials'!I52</f>
        <v>0.23</v>
      </c>
      <c r="F45" t="s">
        <v>64</v>
      </c>
      <c r="G45" s="93">
        <f ca="1">'Target Financials'!I66</f>
        <v>100731.74707732571</v>
      </c>
      <c r="I45" s="157">
        <f>$D$16</f>
        <v>93.38</v>
      </c>
      <c r="K45" s="145">
        <f>K44-0.2</f>
        <v>0.8</v>
      </c>
      <c r="L45" s="31">
        <v>-0.65421848900051982</v>
      </c>
      <c r="M45" s="31">
        <v>-0.72679361601399339</v>
      </c>
      <c r="N45" s="31">
        <v>-0.79669573202181754</v>
      </c>
      <c r="O45" s="31">
        <v>-0.86406984101578299</v>
      </c>
      <c r="P45" s="31">
        <v>-0.92905064514430657</v>
      </c>
      <c r="Q45" s="31">
        <v>-0.99176344361786217</v>
      </c>
    </row>
    <row r="46" spans="3:18" x14ac:dyDescent="0.25">
      <c r="F46" t="s">
        <v>65</v>
      </c>
      <c r="G46" s="28">
        <f>G32</f>
        <v>1338.2463379786038</v>
      </c>
      <c r="I46" t="s">
        <v>95</v>
      </c>
      <c r="K46" s="145">
        <f t="shared" ref="K46:K49" si="11">K45-0.2</f>
        <v>0.60000000000000009</v>
      </c>
      <c r="L46" s="31">
        <v>-0.6701476345091204</v>
      </c>
      <c r="M46" s="31">
        <v>-0.74790312146609006</v>
      </c>
      <c r="N46" s="31">
        <v>-0.82344449428418365</v>
      </c>
      <c r="O46" s="31">
        <v>-0.89686499687558996</v>
      </c>
      <c r="P46" s="31">
        <v>-0.96825270987390866</v>
      </c>
      <c r="Q46" s="31">
        <v>-1.0376909031427712</v>
      </c>
    </row>
    <row r="47" spans="3:18" x14ac:dyDescent="0.25">
      <c r="C47" s="18" t="s">
        <v>23</v>
      </c>
      <c r="D47" s="19"/>
      <c r="F47" t="s">
        <v>66</v>
      </c>
      <c r="G47" s="28">
        <f>G39</f>
        <v>51754.042269144142</v>
      </c>
      <c r="I47" s="158">
        <f>$D$31</f>
        <v>0.6</v>
      </c>
      <c r="K47" s="145">
        <f t="shared" si="11"/>
        <v>0.40000000000000008</v>
      </c>
      <c r="L47" s="31">
        <v>-0.68679284465957435</v>
      </c>
      <c r="M47" s="31">
        <v>-0.77016096850078952</v>
      </c>
      <c r="N47" s="31">
        <v>-0.85189609318192794</v>
      </c>
      <c r="O47" s="31">
        <v>-0.9320457336673944</v>
      </c>
      <c r="P47" s="31">
        <v>-1.0106555792540188</v>
      </c>
      <c r="Q47" s="31">
        <v>-1.0877695804213339</v>
      </c>
    </row>
    <row r="48" spans="3:18" x14ac:dyDescent="0.25">
      <c r="C48" t="s">
        <v>24</v>
      </c>
      <c r="D48" s="103">
        <v>0.8</v>
      </c>
      <c r="F48" t="s">
        <v>67</v>
      </c>
      <c r="G48" s="93">
        <f>-'Target Financials'!I63</f>
        <v>-25933</v>
      </c>
      <c r="I48" t="s">
        <v>24</v>
      </c>
      <c r="K48" s="145">
        <f t="shared" si="11"/>
        <v>0.20000000000000007</v>
      </c>
      <c r="L48" s="31">
        <v>-0.70420351366330891</v>
      </c>
      <c r="M48" s="31">
        <v>-0.79366348048550561</v>
      </c>
      <c r="N48" s="31">
        <v>-0.8822184794871224</v>
      </c>
      <c r="O48" s="31">
        <v>-0.96988217340479554</v>
      </c>
      <c r="P48" s="31">
        <v>-1.0566679513217307</v>
      </c>
      <c r="Q48" s="31">
        <v>-1.1425889354848908</v>
      </c>
    </row>
    <row r="49" spans="3:17" x14ac:dyDescent="0.25">
      <c r="C49" t="s">
        <v>25</v>
      </c>
      <c r="D49" s="10">
        <f>1-D48</f>
        <v>0.19999999999999996</v>
      </c>
      <c r="F49" s="1" t="s">
        <v>68</v>
      </c>
      <c r="G49" s="33">
        <v>-4975</v>
      </c>
      <c r="I49" s="159">
        <f>$D$48</f>
        <v>0.8</v>
      </c>
      <c r="K49" s="145">
        <f t="shared" si="11"/>
        <v>0</v>
      </c>
      <c r="L49" s="31">
        <v>-0.72243368560492982</v>
      </c>
      <c r="M49" s="31">
        <v>-0.81851806352099299</v>
      </c>
      <c r="N49" s="31">
        <v>-0.91460244143705571</v>
      </c>
      <c r="O49" s="31">
        <v>-1.0106868193531189</v>
      </c>
      <c r="P49" s="31">
        <v>-1.1067711972691825</v>
      </c>
      <c r="Q49" s="31">
        <v>-1.2028555751852452</v>
      </c>
    </row>
    <row r="50" spans="3:17" x14ac:dyDescent="0.25">
      <c r="C50" t="s">
        <v>26</v>
      </c>
      <c r="D50" s="28">
        <f>D48*D32*D28</f>
        <v>22983.533836265695</v>
      </c>
      <c r="F50" s="2" t="s">
        <v>69</v>
      </c>
      <c r="G50" s="60">
        <f ca="1">SUM(G45:G49)</f>
        <v>122916.03568444846</v>
      </c>
      <c r="K50" s="10"/>
    </row>
    <row r="51" spans="3:17" x14ac:dyDescent="0.25">
      <c r="C51" t="s">
        <v>27</v>
      </c>
      <c r="D51" s="28">
        <f>D49*D32*D28</f>
        <v>5745.8834590664219</v>
      </c>
      <c r="I51" s="18" t="s">
        <v>93</v>
      </c>
      <c r="K51" s="2" t="s">
        <v>15</v>
      </c>
      <c r="L51" s="150" t="s">
        <v>97</v>
      </c>
      <c r="M51" s="150"/>
      <c r="N51" s="150"/>
      <c r="O51" s="150"/>
      <c r="P51" s="150"/>
      <c r="Q51" s="150"/>
    </row>
    <row r="52" spans="3:17" x14ac:dyDescent="0.25">
      <c r="C52" t="s">
        <v>28</v>
      </c>
      <c r="D52" s="51">
        <f ca="1">D51/'Acquirer Financials'!I55</f>
        <v>0.62399819224074549</v>
      </c>
      <c r="F52" t="s">
        <v>70</v>
      </c>
      <c r="G52" s="93">
        <f>'Target Financials'!I75</f>
        <v>63271.335487098775</v>
      </c>
      <c r="K52" s="132">
        <f ca="1">M35</f>
        <v>-0.85582162257557703</v>
      </c>
      <c r="L52" s="148">
        <v>0</v>
      </c>
      <c r="M52" s="149">
        <f>L52+0.2</f>
        <v>0.2</v>
      </c>
      <c r="N52" s="149">
        <f t="shared" ref="N52:Q52" si="12">M52+0.2</f>
        <v>0.4</v>
      </c>
      <c r="O52" s="149">
        <f t="shared" si="12"/>
        <v>0.60000000000000009</v>
      </c>
      <c r="P52" s="149">
        <f t="shared" si="12"/>
        <v>0.8</v>
      </c>
      <c r="Q52" s="149">
        <f t="shared" si="12"/>
        <v>1</v>
      </c>
    </row>
    <row r="53" spans="3:17" x14ac:dyDescent="0.25">
      <c r="F53" t="s">
        <v>71</v>
      </c>
      <c r="G53" s="28">
        <f>IF($D$6="Stock sale", 0,-'Target Financials'!I73)</f>
        <v>0</v>
      </c>
      <c r="I53" t="s">
        <v>96</v>
      </c>
      <c r="K53" s="144">
        <v>1</v>
      </c>
      <c r="L53" s="131">
        <f t="dataTable" ref="L53:Q58" dt2D="1" dtr="1" r1="D48" r2="D31" ca="1"/>
        <v>-0.79893051782918612</v>
      </c>
      <c r="M53" s="109">
        <v>-0.79893051782918612</v>
      </c>
      <c r="N53" s="109">
        <v>-0.79893051782918612</v>
      </c>
      <c r="O53" s="109">
        <v>-0.79893051782918612</v>
      </c>
      <c r="P53" s="109">
        <v>-0.79893051782918612</v>
      </c>
      <c r="Q53" s="109">
        <v>-0.79893051782918612</v>
      </c>
    </row>
    <row r="54" spans="3:17" x14ac:dyDescent="0.25">
      <c r="C54" t="s">
        <v>29</v>
      </c>
      <c r="D54" s="118" t="s">
        <v>295</v>
      </c>
      <c r="F54" s="1" t="s">
        <v>72</v>
      </c>
      <c r="G54" s="29">
        <f>G42+G35</f>
        <v>7523.1772956292925</v>
      </c>
      <c r="I54" s="157">
        <f>$D$16</f>
        <v>93.38</v>
      </c>
      <c r="K54" s="145">
        <f>K53-0.2</f>
        <v>0.8</v>
      </c>
      <c r="L54" s="31">
        <v>-0.7901729352073934</v>
      </c>
      <c r="M54" s="31">
        <v>-0.79924840123985952</v>
      </c>
      <c r="N54" s="31">
        <v>-0.80832386727232519</v>
      </c>
      <c r="O54" s="31">
        <v>-0.81739933330479131</v>
      </c>
      <c r="P54" s="31">
        <v>-0.82647479933725743</v>
      </c>
      <c r="Q54" s="31">
        <v>-0.8355502653697231</v>
      </c>
    </row>
    <row r="55" spans="3:17" x14ac:dyDescent="0.25">
      <c r="C55" t="s">
        <v>30</v>
      </c>
      <c r="D55" s="28">
        <f>IF($D$54="Assumed",0,D59)</f>
        <v>32428</v>
      </c>
      <c r="F55" s="2" t="s">
        <v>73</v>
      </c>
      <c r="G55" s="60">
        <f>SUM(G52:G54)</f>
        <v>70794.512782728067</v>
      </c>
      <c r="I55" t="s">
        <v>95</v>
      </c>
      <c r="K55" s="145">
        <f t="shared" ref="K55:K58" si="13">K54-0.2</f>
        <v>0.60000000000000009</v>
      </c>
      <c r="L55" s="31">
        <v>-0.78084224240564293</v>
      </c>
      <c r="M55" s="31">
        <v>-0.79958708744812634</v>
      </c>
      <c r="N55" s="31">
        <v>-0.8183319324906102</v>
      </c>
      <c r="O55" s="31">
        <v>-0.83707677753309362</v>
      </c>
      <c r="P55" s="31">
        <v>-0.85582162257557703</v>
      </c>
      <c r="Q55" s="31">
        <v>-0.87456646761806045</v>
      </c>
    </row>
    <row r="56" spans="3:17" x14ac:dyDescent="0.25">
      <c r="C56" t="s">
        <v>31</v>
      </c>
      <c r="D56" s="28">
        <f>D48*D32*D28+D55</f>
        <v>55411.533836265691</v>
      </c>
      <c r="I56" s="158">
        <f>$D$31</f>
        <v>0.6</v>
      </c>
      <c r="K56" s="145">
        <f t="shared" si="13"/>
        <v>0.40000000000000008</v>
      </c>
      <c r="L56" s="31">
        <v>-0.77088027848469842</v>
      </c>
      <c r="M56" s="31">
        <v>-0.79994868758425497</v>
      </c>
      <c r="N56" s="31">
        <v>-0.82901709668381152</v>
      </c>
      <c r="O56" s="31">
        <v>-0.85808550578336718</v>
      </c>
      <c r="P56" s="31">
        <v>-0.88715391488292372</v>
      </c>
      <c r="Q56" s="31">
        <v>-0.91622232398248027</v>
      </c>
    </row>
    <row r="57" spans="3:17" x14ac:dyDescent="0.25">
      <c r="F57" t="s">
        <v>74</v>
      </c>
      <c r="G57" s="28">
        <f ca="1">G50-G55</f>
        <v>52121.522901720396</v>
      </c>
      <c r="I57" t="s">
        <v>24</v>
      </c>
      <c r="K57" s="145">
        <f t="shared" si="13"/>
        <v>0.20000000000000007</v>
      </c>
      <c r="L57" s="31">
        <v>-0.76022073717241456</v>
      </c>
      <c r="M57" s="31">
        <v>-0.80033560843843343</v>
      </c>
      <c r="N57" s="31">
        <v>-0.84045047970445186</v>
      </c>
      <c r="O57" s="31">
        <v>-0.88056535097046984</v>
      </c>
      <c r="P57" s="31">
        <v>-0.92068022223648827</v>
      </c>
      <c r="Q57" s="31">
        <v>-0.96079509350250625</v>
      </c>
    </row>
    <row r="58" spans="3:17" x14ac:dyDescent="0.25">
      <c r="C58" t="s">
        <v>32</v>
      </c>
      <c r="D58" s="93">
        <f ca="1">'Acquirer Financials'!I55</f>
        <v>9208.1732455558067</v>
      </c>
      <c r="F58" t="s">
        <v>75</v>
      </c>
      <c r="G58" s="28">
        <f>D28</f>
        <v>71823.543238330283</v>
      </c>
      <c r="I58" s="159">
        <f>$D$48</f>
        <v>0.8</v>
      </c>
      <c r="K58" s="145">
        <f t="shared" si="13"/>
        <v>0</v>
      </c>
      <c r="L58" s="31">
        <v>-0.74878768920418848</v>
      </c>
      <c r="M58" s="31">
        <v>-0.80075060609697424</v>
      </c>
      <c r="N58" s="31">
        <v>-0.85271352298976133</v>
      </c>
      <c r="O58" s="31">
        <v>-0.90467643988254798</v>
      </c>
      <c r="P58" s="31">
        <v>-0.95663935677533374</v>
      </c>
      <c r="Q58" s="31">
        <v>-1.0086022736681204</v>
      </c>
    </row>
    <row r="59" spans="3:17" x14ac:dyDescent="0.25">
      <c r="C59" t="s">
        <v>33</v>
      </c>
      <c r="D59" s="28">
        <f>'Target Financials'!I71+'Target Financials'!I72</f>
        <v>32428</v>
      </c>
      <c r="F59" s="17" t="s">
        <v>76</v>
      </c>
      <c r="G59" s="105">
        <f ca="1">G58-G57</f>
        <v>19702.020336609887</v>
      </c>
    </row>
    <row r="60" spans="3:17" x14ac:dyDescent="0.25">
      <c r="I60" s="18" t="s">
        <v>98</v>
      </c>
      <c r="K60" s="2" t="s">
        <v>15</v>
      </c>
      <c r="L60" s="150" t="s">
        <v>94</v>
      </c>
      <c r="M60" s="150"/>
      <c r="N60" s="150"/>
      <c r="O60" s="150"/>
      <c r="P60" s="150"/>
      <c r="Q60" s="150"/>
    </row>
    <row r="61" spans="3:17" x14ac:dyDescent="0.25">
      <c r="C61" t="s">
        <v>34</v>
      </c>
      <c r="D61" s="104">
        <v>5</v>
      </c>
      <c r="K61" s="132">
        <f ca="1">N35</f>
        <v>-0.50782407053292555</v>
      </c>
      <c r="L61" s="146">
        <v>18</v>
      </c>
      <c r="M61" s="147">
        <f>L61+4</f>
        <v>22</v>
      </c>
      <c r="N61" s="147">
        <f t="shared" ref="N61:Q61" si="14">M61+4</f>
        <v>26</v>
      </c>
      <c r="O61" s="147">
        <f t="shared" si="14"/>
        <v>30</v>
      </c>
      <c r="P61" s="147">
        <f t="shared" si="14"/>
        <v>34</v>
      </c>
      <c r="Q61" s="147">
        <f t="shared" si="14"/>
        <v>38</v>
      </c>
    </row>
    <row r="62" spans="3:17" x14ac:dyDescent="0.25">
      <c r="C62" t="s">
        <v>35</v>
      </c>
      <c r="D62" s="53">
        <v>5.0000000000000001E-3</v>
      </c>
      <c r="I62" t="s">
        <v>96</v>
      </c>
      <c r="K62" s="144">
        <v>1</v>
      </c>
      <c r="L62" s="131">
        <f t="dataTable" ref="L62:Q67" dt2D="1" dtr="1" r1="D26" r2="D31" ca="1"/>
        <v>-0.32073328525142619</v>
      </c>
      <c r="M62" s="109">
        <v>-0.39906658472777323</v>
      </c>
      <c r="N62" s="109">
        <v>-0.4739023564709246</v>
      </c>
      <c r="O62" s="109">
        <v>-0.54546972857274856</v>
      </c>
      <c r="P62" s="109">
        <v>-0.61397824281802027</v>
      </c>
      <c r="Q62" s="109">
        <v>-0.67961990373884085</v>
      </c>
    </row>
    <row r="63" spans="3:17" x14ac:dyDescent="0.25">
      <c r="C63" t="s">
        <v>36</v>
      </c>
      <c r="D63" s="28">
        <f>D62*D56</f>
        <v>277.05766918132844</v>
      </c>
      <c r="I63" s="157">
        <f>$D$16</f>
        <v>93.38</v>
      </c>
      <c r="K63" s="145">
        <f>K62-0.2</f>
        <v>0.8</v>
      </c>
      <c r="L63" s="31">
        <v>-0.31749192900727374</v>
      </c>
      <c r="M63" s="31">
        <v>-0.39719742130296298</v>
      </c>
      <c r="N63" s="31">
        <v>-0.47397078093844369</v>
      </c>
      <c r="O63" s="31">
        <v>-0.54797088256296433</v>
      </c>
      <c r="P63" s="31">
        <v>-0.61934532650494889</v>
      </c>
      <c r="Q63" s="31">
        <v>-0.68823142142221627</v>
      </c>
    </row>
    <row r="64" spans="3:17" x14ac:dyDescent="0.25">
      <c r="I64" t="s">
        <v>95</v>
      </c>
      <c r="K64" s="145">
        <f t="shared" ref="K64:K67" si="15">K63-0.2</f>
        <v>0.60000000000000009</v>
      </c>
      <c r="L64" s="31">
        <v>-0.31410824684415095</v>
      </c>
      <c r="M64" s="31">
        <v>-0.3952293925030772</v>
      </c>
      <c r="N64" s="31">
        <v>-0.47404342177830916</v>
      </c>
      <c r="O64" s="31">
        <v>-0.55064737760817373</v>
      </c>
      <c r="P64" s="31">
        <v>-0.62513293570058215</v>
      </c>
      <c r="Q64" s="31">
        <v>-0.69758677053440721</v>
      </c>
    </row>
    <row r="65" spans="3:17" x14ac:dyDescent="0.25">
      <c r="C65" t="s">
        <v>37</v>
      </c>
      <c r="D65" s="101">
        <f>'Acquirer Financials'!I203</f>
        <v>5.1688697594725892E-2</v>
      </c>
      <c r="I65" s="158">
        <f>$D$31</f>
        <v>0.6</v>
      </c>
      <c r="K65" s="145">
        <f t="shared" si="15"/>
        <v>0.40000000000000008</v>
      </c>
      <c r="L65" s="31">
        <v>-0.31057265417269964</v>
      </c>
      <c r="M65" s="31">
        <v>-0.39315444134293509</v>
      </c>
      <c r="N65" s="31">
        <v>-0.47412068110434413</v>
      </c>
      <c r="O65" s="31">
        <v>-0.55351832166128334</v>
      </c>
      <c r="P65" s="31">
        <v>-0.63139250956844428</v>
      </c>
      <c r="Q65" s="31">
        <v>-0.70778667533307171</v>
      </c>
    </row>
    <row r="66" spans="3:17" x14ac:dyDescent="0.25">
      <c r="C66" t="s">
        <v>38</v>
      </c>
      <c r="D66" s="101">
        <f>'Acquirer Financials'!I206</f>
        <v>3.1642008960802416E-2</v>
      </c>
      <c r="I66" t="s">
        <v>24</v>
      </c>
      <c r="K66" s="145">
        <f t="shared" si="15"/>
        <v>0.20000000000000007</v>
      </c>
      <c r="L66" s="31">
        <v>-0.30687468604077361</v>
      </c>
      <c r="M66" s="31">
        <v>-0.39096361092464083</v>
      </c>
      <c r="N66" s="31">
        <v>-0.47420301384183672</v>
      </c>
      <c r="O66" s="31">
        <v>-0.55660570373977158</v>
      </c>
      <c r="P66" s="31">
        <v>-0.63818423334543839</v>
      </c>
      <c r="Q66" s="31">
        <v>-0.71895090554008112</v>
      </c>
    </row>
    <row r="67" spans="3:17" x14ac:dyDescent="0.25">
      <c r="I67" s="159">
        <f>$D$48</f>
        <v>0.8</v>
      </c>
      <c r="K67" s="145">
        <f t="shared" si="15"/>
        <v>0</v>
      </c>
      <c r="L67" s="31">
        <v>-0.30300289367907451</v>
      </c>
      <c r="M67" s="31">
        <v>-0.38864691518545014</v>
      </c>
      <c r="N67" s="31">
        <v>-0.47429093669182665</v>
      </c>
      <c r="O67" s="31">
        <v>-0.55993495819820227</v>
      </c>
      <c r="P67" s="31">
        <v>-0.64557897970457834</v>
      </c>
      <c r="Q67" s="31">
        <v>-0.7312230012109544</v>
      </c>
    </row>
    <row r="69" spans="3:17" x14ac:dyDescent="0.25">
      <c r="I69" s="18" t="s">
        <v>329</v>
      </c>
      <c r="K69" s="2" t="s">
        <v>15</v>
      </c>
      <c r="L69" s="150" t="s">
        <v>94</v>
      </c>
      <c r="M69" s="150"/>
      <c r="N69" s="150"/>
      <c r="O69" s="150"/>
      <c r="P69" s="150"/>
      <c r="Q69" s="150"/>
    </row>
    <row r="70" spans="3:17" x14ac:dyDescent="0.25">
      <c r="K70" s="132">
        <f ca="1">O35</f>
        <v>-0.4691620478758467</v>
      </c>
      <c r="L70" s="146">
        <v>18</v>
      </c>
      <c r="M70" s="147">
        <f>L70+4</f>
        <v>22</v>
      </c>
      <c r="N70" s="147">
        <f t="shared" ref="N70:Q70" si="16">M70+4</f>
        <v>26</v>
      </c>
      <c r="O70" s="147">
        <f t="shared" si="16"/>
        <v>30</v>
      </c>
      <c r="P70" s="147">
        <f t="shared" si="16"/>
        <v>34</v>
      </c>
      <c r="Q70" s="147">
        <f t="shared" si="16"/>
        <v>38</v>
      </c>
    </row>
    <row r="71" spans="3:17" x14ac:dyDescent="0.25">
      <c r="I71" t="s">
        <v>96</v>
      </c>
      <c r="K71" s="144">
        <v>1</v>
      </c>
      <c r="L71" s="131">
        <f t="dataTable" ref="L71:Q76" dt2D="1" dtr="1" r1="D26" r2="D31" ca="1"/>
        <v>-0.28957133832533666</v>
      </c>
      <c r="M71" s="109">
        <v>-0.38070667887146215</v>
      </c>
      <c r="N71" s="109">
        <v>-0.46777629714424629</v>
      </c>
      <c r="O71" s="109">
        <v>-0.55104632628737926</v>
      </c>
      <c r="P71" s="109">
        <v>-0.6307601681132442</v>
      </c>
      <c r="Q71" s="109">
        <v>-0.70714086931268172</v>
      </c>
    </row>
    <row r="72" spans="3:17" x14ac:dyDescent="0.25">
      <c r="I72" s="157">
        <f>$D$16</f>
        <v>93.38</v>
      </c>
      <c r="K72" s="145">
        <f>K71-0.2</f>
        <v>0.8</v>
      </c>
      <c r="L72" s="31">
        <v>-0.27328756050027891</v>
      </c>
      <c r="M72" s="31">
        <v>-0.36352293296566618</v>
      </c>
      <c r="N72" s="31">
        <v>-0.45044167216381625</v>
      </c>
      <c r="O72" s="31">
        <v>-0.53422333432438585</v>
      </c>
      <c r="P72" s="31">
        <v>-0.61503474431633576</v>
      </c>
      <c r="Q72" s="31">
        <v>-0.6930311043841737</v>
      </c>
    </row>
    <row r="73" spans="3:17" x14ac:dyDescent="0.25">
      <c r="I73" t="s">
        <v>95</v>
      </c>
      <c r="K73" s="145">
        <f t="shared" ref="K73:K76" si="17">K72-0.2</f>
        <v>0.60000000000000009</v>
      </c>
      <c r="L73" s="31">
        <v>-0.25628942646017716</v>
      </c>
      <c r="M73" s="31">
        <v>-0.34543110949394817</v>
      </c>
      <c r="N73" s="31">
        <v>-0.43203982287153275</v>
      </c>
      <c r="O73" s="31">
        <v>-0.51622201607804064</v>
      </c>
      <c r="P73" s="31">
        <v>-0.59807825620235322</v>
      </c>
      <c r="Q73" s="31">
        <v>-0.67770362872657497</v>
      </c>
    </row>
    <row r="74" spans="3:17" x14ac:dyDescent="0.25">
      <c r="I74" s="158">
        <f>$D$31</f>
        <v>0.6</v>
      </c>
      <c r="K74" s="145">
        <f t="shared" si="17"/>
        <v>0.40000000000000008</v>
      </c>
      <c r="L74" s="31">
        <v>-0.23852887464659478</v>
      </c>
      <c r="M74" s="31">
        <v>-0.32635727367134715</v>
      </c>
      <c r="N74" s="31">
        <v>-0.41246906185036192</v>
      </c>
      <c r="O74" s="31">
        <v>-0.49691407900146523</v>
      </c>
      <c r="P74" s="31">
        <v>-0.57974025404713192</v>
      </c>
      <c r="Q74" s="31">
        <v>-0.66099369572640398</v>
      </c>
    </row>
    <row r="75" spans="3:17" x14ac:dyDescent="0.25">
      <c r="I75" t="s">
        <v>24</v>
      </c>
      <c r="K75" s="145">
        <f t="shared" si="17"/>
        <v>0.20000000000000007</v>
      </c>
      <c r="L75" s="31">
        <v>-0.21995343318017113</v>
      </c>
      <c r="M75" s="31">
        <v>-0.3062192405423807</v>
      </c>
      <c r="N75" s="31">
        <v>-0.39161435925863453</v>
      </c>
      <c r="O75" s="31">
        <v>-0.47615190504948934</v>
      </c>
      <c r="P75" s="31">
        <v>-0.55984473152468484</v>
      </c>
      <c r="Q75" s="31">
        <v>-0.64270543669828273</v>
      </c>
    </row>
    <row r="76" spans="3:17" x14ac:dyDescent="0.25">
      <c r="I76" s="159">
        <f>$D$48</f>
        <v>0.8</v>
      </c>
      <c r="K76" s="145">
        <f t="shared" si="17"/>
        <v>0</v>
      </c>
      <c r="L76" s="31">
        <v>-0.20050570209673158</v>
      </c>
      <c r="M76" s="31">
        <v>-0.28492539119104299</v>
      </c>
      <c r="N76" s="31">
        <v>-0.3693450802853544</v>
      </c>
      <c r="O76" s="31">
        <v>-0.45376476937966537</v>
      </c>
      <c r="P76" s="31">
        <v>-0.53818445847397767</v>
      </c>
      <c r="Q76" s="31">
        <v>-0.62260414756828908</v>
      </c>
    </row>
  </sheetData>
  <dataValidations count="4">
    <dataValidation type="list" allowBlank="1" showInputMessage="1" showErrorMessage="1" sqref="D6" xr:uid="{DDEDBE67-5A72-4DE8-A916-047D8CFD3568}">
      <formula1>"Stock Sale, Asset Sale"</formula1>
    </dataValidation>
    <dataValidation type="list" allowBlank="1" showInputMessage="1" showErrorMessage="1" sqref="J10" xr:uid="{8D9094BC-BC9C-4573-AFA6-B8ACCEAC7E07}">
      <formula1>"Cash EPS,GAAP EPS"</formula1>
    </dataValidation>
    <dataValidation type="list" allowBlank="1" showInputMessage="1" showErrorMessage="1" sqref="D15 D23" xr:uid="{6172222F-2E61-4EED-BDAD-C026CE30F245}">
      <formula1>"10-K,10-Q"</formula1>
    </dataValidation>
    <dataValidation type="list" allowBlank="1" showInputMessage="1" showErrorMessage="1" sqref="D54" xr:uid="{5BA6AE88-F203-4484-959E-65EBCEE6CD42}">
      <formula1>"Refinanced,Assumed"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6AF2C-FA3F-4A82-881B-9FA2E99479F3}">
  <dimension ref="B2:M261"/>
  <sheetViews>
    <sheetView showGridLines="0" topLeftCell="A239" zoomScale="112" workbookViewId="0">
      <selection activeCell="I71" sqref="I71"/>
    </sheetView>
  </sheetViews>
  <sheetFormatPr defaultRowHeight="15" x14ac:dyDescent="0.25"/>
  <cols>
    <col min="1" max="2" width="2.140625" customWidth="1"/>
    <col min="3" max="3" width="70.28515625" bestFit="1" customWidth="1"/>
    <col min="4" max="13" width="14.42578125" customWidth="1"/>
  </cols>
  <sheetData>
    <row r="2" spans="2:13" ht="19.5" x14ac:dyDescent="0.3">
      <c r="C2" s="22" t="s">
        <v>173</v>
      </c>
      <c r="D2" s="23"/>
      <c r="E2" s="23"/>
      <c r="F2" s="23"/>
      <c r="G2" s="23"/>
      <c r="H2" s="23"/>
      <c r="I2" s="23"/>
      <c r="J2" s="23"/>
      <c r="K2" s="23"/>
      <c r="L2" s="23"/>
      <c r="M2" s="24"/>
    </row>
    <row r="3" spans="2:13" x14ac:dyDescent="0.25">
      <c r="C3" s="25" t="s">
        <v>101</v>
      </c>
      <c r="D3" s="13"/>
      <c r="E3" s="13"/>
      <c r="F3" s="13"/>
      <c r="G3" s="13"/>
      <c r="H3" s="13"/>
      <c r="I3" s="13"/>
      <c r="J3" s="13"/>
      <c r="K3" s="13"/>
      <c r="L3" s="13"/>
      <c r="M3" s="26"/>
    </row>
    <row r="4" spans="2:13" s="61" customFormat="1" x14ac:dyDescent="0.25">
      <c r="C4" s="62"/>
      <c r="D4" s="63"/>
      <c r="E4" s="63"/>
      <c r="F4" s="63"/>
      <c r="G4" s="63"/>
      <c r="H4" s="63"/>
      <c r="I4" s="63"/>
      <c r="J4" s="63"/>
      <c r="K4" s="63"/>
      <c r="L4" s="63"/>
      <c r="M4" s="63"/>
    </row>
    <row r="5" spans="2:13" x14ac:dyDescent="0.25">
      <c r="C5" s="64" t="s">
        <v>215</v>
      </c>
      <c r="D5" s="77">
        <v>1</v>
      </c>
    </row>
    <row r="6" spans="2:13" x14ac:dyDescent="0.25">
      <c r="C6" s="75" t="s">
        <v>102</v>
      </c>
      <c r="D6" s="140">
        <f>'M&amp;A'!D21</f>
        <v>46022</v>
      </c>
    </row>
    <row r="7" spans="2:13" x14ac:dyDescent="0.25">
      <c r="C7" s="75" t="s">
        <v>257</v>
      </c>
      <c r="D7" s="76">
        <v>2479.9295149999998</v>
      </c>
    </row>
    <row r="9" spans="2:13" x14ac:dyDescent="0.25">
      <c r="B9" t="s">
        <v>129</v>
      </c>
      <c r="C9" s="14" t="s">
        <v>105</v>
      </c>
      <c r="D9" s="16"/>
      <c r="E9" s="16"/>
      <c r="F9" s="16"/>
      <c r="G9" s="16"/>
      <c r="H9" s="16"/>
      <c r="I9" s="16"/>
      <c r="J9" s="16"/>
      <c r="K9" s="16"/>
      <c r="L9" s="16"/>
      <c r="M9" s="15"/>
    </row>
    <row r="10" spans="2:13" x14ac:dyDescent="0.25">
      <c r="C10" s="40" t="s">
        <v>103</v>
      </c>
      <c r="D10" s="41">
        <v>2021</v>
      </c>
      <c r="E10" s="41">
        <v>2022</v>
      </c>
      <c r="F10" s="41">
        <v>2023</v>
      </c>
      <c r="G10" s="41">
        <v>2024</v>
      </c>
      <c r="H10" s="41">
        <v>2025</v>
      </c>
      <c r="I10" s="42">
        <v>2026</v>
      </c>
      <c r="J10" s="42">
        <v>2027</v>
      </c>
      <c r="K10" s="42">
        <v>2028</v>
      </c>
      <c r="L10" s="42">
        <v>2029</v>
      </c>
      <c r="M10" s="42">
        <v>2030</v>
      </c>
    </row>
    <row r="11" spans="2:13" x14ac:dyDescent="0.25">
      <c r="C11" s="18" t="s">
        <v>104</v>
      </c>
      <c r="D11" s="43">
        <v>44561</v>
      </c>
      <c r="E11" s="43">
        <f>EOMONTH(D11,12)</f>
        <v>44926</v>
      </c>
      <c r="F11" s="43">
        <f t="shared" ref="F11:M11" si="0">EOMONTH(E11,12)</f>
        <v>45291</v>
      </c>
      <c r="G11" s="43">
        <f t="shared" si="0"/>
        <v>45657</v>
      </c>
      <c r="H11" s="43">
        <f t="shared" si="0"/>
        <v>46022</v>
      </c>
      <c r="I11" s="43">
        <f t="shared" si="0"/>
        <v>46387</v>
      </c>
      <c r="J11" s="43">
        <f t="shared" si="0"/>
        <v>46752</v>
      </c>
      <c r="K11" s="43">
        <f t="shared" si="0"/>
        <v>47118</v>
      </c>
      <c r="L11" s="43">
        <f t="shared" si="0"/>
        <v>47483</v>
      </c>
      <c r="M11" s="43">
        <f t="shared" si="0"/>
        <v>47848</v>
      </c>
    </row>
    <row r="13" spans="2:13" x14ac:dyDescent="0.25">
      <c r="C13" t="s">
        <v>106</v>
      </c>
      <c r="D13" s="32">
        <v>12191</v>
      </c>
      <c r="E13" s="32">
        <v>33817</v>
      </c>
      <c r="F13" s="32">
        <v>41321</v>
      </c>
      <c r="G13" s="32">
        <v>39321</v>
      </c>
      <c r="H13" s="32">
        <v>37296</v>
      </c>
      <c r="I13" s="32">
        <v>37432.15</v>
      </c>
      <c r="J13" s="32">
        <v>38125.5</v>
      </c>
      <c r="K13" s="32">
        <v>38743.39</v>
      </c>
      <c r="L13" s="32">
        <v>38824.97</v>
      </c>
      <c r="M13" s="32">
        <v>39336.82</v>
      </c>
    </row>
    <row r="14" spans="2:13" x14ac:dyDescent="0.25">
      <c r="C14" s="1" t="s">
        <v>107</v>
      </c>
      <c r="D14" s="33">
        <v>-4620</v>
      </c>
      <c r="E14" s="33">
        <v>-20442</v>
      </c>
      <c r="F14" s="33">
        <v>-24526</v>
      </c>
      <c r="G14" s="33">
        <v>-22970</v>
      </c>
      <c r="H14" s="33">
        <v>-20885</v>
      </c>
      <c r="I14" s="29">
        <f>I15-I13</f>
        <v>-21748.079150000001</v>
      </c>
      <c r="J14" s="29">
        <f t="shared" ref="J14:M14" si="1">J15-J13</f>
        <v>-21617.158500000001</v>
      </c>
      <c r="K14" s="29">
        <f t="shared" si="1"/>
        <v>-22664.883150000001</v>
      </c>
      <c r="L14" s="29">
        <f t="shared" si="1"/>
        <v>-22906.732300000003</v>
      </c>
      <c r="M14" s="29">
        <f t="shared" si="1"/>
        <v>-23366.071079999998</v>
      </c>
    </row>
    <row r="15" spans="2:13" x14ac:dyDescent="0.25">
      <c r="C15" s="2" t="s">
        <v>108</v>
      </c>
      <c r="D15" s="60">
        <f t="shared" ref="D15" si="2">SUM(D13:D14)</f>
        <v>7571</v>
      </c>
      <c r="E15" s="60">
        <f t="shared" ref="E15" si="3">SUM(E13:E14)</f>
        <v>13375</v>
      </c>
      <c r="F15" s="60">
        <f t="shared" ref="F15" si="4">SUM(F13:F14)</f>
        <v>16795</v>
      </c>
      <c r="G15" s="60">
        <f t="shared" ref="G15" si="5">SUM(G13:G14)</f>
        <v>16351</v>
      </c>
      <c r="H15" s="60">
        <f t="shared" ref="H15" si="6">SUM(H13:H14)</f>
        <v>16411</v>
      </c>
      <c r="I15" s="60">
        <f>I13*I45</f>
        <v>15684.07085</v>
      </c>
      <c r="J15" s="60">
        <f t="shared" ref="J15:M15" si="7">J13*J45</f>
        <v>16508.341499999999</v>
      </c>
      <c r="K15" s="60">
        <f t="shared" si="7"/>
        <v>16078.50685</v>
      </c>
      <c r="L15" s="60">
        <f t="shared" si="7"/>
        <v>15918.2377</v>
      </c>
      <c r="M15" s="60">
        <f t="shared" si="7"/>
        <v>15970.748920000002</v>
      </c>
    </row>
    <row r="16" spans="2:13" x14ac:dyDescent="0.25">
      <c r="C16" t="s">
        <v>109</v>
      </c>
      <c r="D16" s="32">
        <v>-4016</v>
      </c>
      <c r="E16" s="32">
        <v>-9678</v>
      </c>
      <c r="F16" s="32">
        <v>-9696</v>
      </c>
      <c r="G16" s="32">
        <v>-9296</v>
      </c>
      <c r="H16" s="32">
        <v>-9418</v>
      </c>
      <c r="I16" s="28">
        <f>I13*-I47</f>
        <v>-9452.3806493993998</v>
      </c>
      <c r="J16" s="28">
        <f t="shared" ref="J16:M16" si="8">J13*-J47</f>
        <v>-9627.4656531531546</v>
      </c>
      <c r="K16" s="28">
        <f t="shared" si="8"/>
        <v>-9783.4954692192205</v>
      </c>
      <c r="L16" s="28">
        <f t="shared" si="8"/>
        <v>-9804.0960816173319</v>
      </c>
      <c r="M16" s="28">
        <f t="shared" si="8"/>
        <v>-9933.3486368511367</v>
      </c>
    </row>
    <row r="17" spans="3:13" x14ac:dyDescent="0.25">
      <c r="C17" t="s">
        <v>110</v>
      </c>
      <c r="D17" s="32">
        <v>-1582</v>
      </c>
      <c r="E17" s="32">
        <v>-7193</v>
      </c>
      <c r="F17" s="32">
        <v>-7985</v>
      </c>
      <c r="G17" s="32">
        <v>-7037</v>
      </c>
      <c r="H17" s="32">
        <v>-5684</v>
      </c>
      <c r="I17" s="57">
        <f>-I197+I206</f>
        <v>-5102.8902414132881</v>
      </c>
      <c r="J17" s="57">
        <f t="shared" ref="J17:M17" si="9">-J197+J206</f>
        <v>-4150.5525091497748</v>
      </c>
      <c r="K17" s="57">
        <f t="shared" si="9"/>
        <v>-3474.3439245495492</v>
      </c>
      <c r="L17" s="57">
        <f t="shared" si="9"/>
        <v>-3246.3360540339445</v>
      </c>
      <c r="M17" s="57">
        <f t="shared" si="9"/>
        <v>-3104.7617159346846</v>
      </c>
    </row>
    <row r="18" spans="3:13" x14ac:dyDescent="0.25">
      <c r="C18" t="s">
        <v>111</v>
      </c>
      <c r="D18" s="32">
        <v>-32</v>
      </c>
      <c r="E18" s="32">
        <v>-3757</v>
      </c>
      <c r="F18" s="32">
        <v>-585</v>
      </c>
      <c r="G18" s="32">
        <v>-447</v>
      </c>
      <c r="H18" s="32">
        <v>-399</v>
      </c>
      <c r="I18" s="28">
        <f>I13*-I49</f>
        <v>-400.45655968468469</v>
      </c>
      <c r="J18" s="28">
        <f t="shared" ref="J18:M18" si="10">J13*-J49</f>
        <v>-407.87415540540542</v>
      </c>
      <c r="K18" s="28">
        <f t="shared" si="10"/>
        <v>-414.48446509009011</v>
      </c>
      <c r="L18" s="28">
        <f t="shared" si="10"/>
        <v>-415.35722409909908</v>
      </c>
      <c r="M18" s="28">
        <f t="shared" si="10"/>
        <v>-420.83309684684684</v>
      </c>
    </row>
    <row r="19" spans="3:13" x14ac:dyDescent="0.25">
      <c r="C19" s="1" t="s">
        <v>112</v>
      </c>
      <c r="D19" s="33">
        <v>71</v>
      </c>
      <c r="E19" s="33">
        <v>-117</v>
      </c>
      <c r="F19" s="33">
        <v>-77</v>
      </c>
      <c r="G19" s="33">
        <v>-9603</v>
      </c>
      <c r="H19" s="33">
        <v>-172</v>
      </c>
      <c r="I19" s="29">
        <f>I13*-I50</f>
        <v>-172.62789039039038</v>
      </c>
      <c r="J19" s="29">
        <f t="shared" ref="J19:M19" si="11">J13*-J50</f>
        <v>-175.82545045045043</v>
      </c>
      <c r="K19" s="29">
        <f t="shared" si="11"/>
        <v>-178.6750075075075</v>
      </c>
      <c r="L19" s="29">
        <f t="shared" si="11"/>
        <v>-179.05123444873445</v>
      </c>
      <c r="M19" s="29">
        <f t="shared" si="11"/>
        <v>-181.41176104676103</v>
      </c>
    </row>
    <row r="20" spans="3:13" x14ac:dyDescent="0.25">
      <c r="C20" s="27" t="s">
        <v>113</v>
      </c>
      <c r="D20" s="30">
        <f>SUM(D16:D19)</f>
        <v>-5559</v>
      </c>
      <c r="E20" s="30">
        <f>SUM(E16:E19)</f>
        <v>-20745</v>
      </c>
      <c r="F20" s="30">
        <f>SUM(F16:F19)</f>
        <v>-18343</v>
      </c>
      <c r="G20" s="30">
        <f t="shared" ref="G20:M20" si="12">SUM(G16:G19)</f>
        <v>-26383</v>
      </c>
      <c r="H20" s="30">
        <f t="shared" si="12"/>
        <v>-15673</v>
      </c>
      <c r="I20" s="30">
        <f t="shared" si="12"/>
        <v>-15128.355340887763</v>
      </c>
      <c r="J20" s="30">
        <f t="shared" si="12"/>
        <v>-14361.717768158785</v>
      </c>
      <c r="K20" s="30">
        <f t="shared" si="12"/>
        <v>-13850.998866366366</v>
      </c>
      <c r="L20" s="30">
        <f t="shared" si="12"/>
        <v>-13644.840594199111</v>
      </c>
      <c r="M20" s="30">
        <f t="shared" si="12"/>
        <v>-13640.355210679429</v>
      </c>
    </row>
    <row r="21" spans="3:13" x14ac:dyDescent="0.25">
      <c r="C21" s="2" t="s">
        <v>114</v>
      </c>
      <c r="D21" s="60">
        <f t="shared" ref="D21" si="13">D15+D20</f>
        <v>2012</v>
      </c>
      <c r="E21" s="60">
        <f t="shared" ref="E21" si="14">E15+E20</f>
        <v>-7370</v>
      </c>
      <c r="F21" s="60">
        <f t="shared" ref="F21" si="15">F15+F20</f>
        <v>-1548</v>
      </c>
      <c r="G21" s="60">
        <f t="shared" ref="G21" si="16">G15+G20</f>
        <v>-10032</v>
      </c>
      <c r="H21" s="60">
        <f t="shared" ref="H21:M21" si="17">H15+H20</f>
        <v>738</v>
      </c>
      <c r="I21" s="60">
        <f t="shared" si="17"/>
        <v>555.71550911223676</v>
      </c>
      <c r="J21" s="60">
        <f t="shared" si="17"/>
        <v>2146.6237318412132</v>
      </c>
      <c r="K21" s="60">
        <f t="shared" si="17"/>
        <v>2227.5079836336336</v>
      </c>
      <c r="L21" s="60">
        <f t="shared" si="17"/>
        <v>2273.3971058008883</v>
      </c>
      <c r="M21" s="60">
        <f t="shared" si="17"/>
        <v>2330.3937093205732</v>
      </c>
    </row>
    <row r="22" spans="3:13" x14ac:dyDescent="0.25">
      <c r="C22" t="s">
        <v>116</v>
      </c>
      <c r="D22" s="32">
        <v>-633</v>
      </c>
      <c r="E22" s="32">
        <v>-1777</v>
      </c>
      <c r="F22" s="32">
        <v>-2221</v>
      </c>
      <c r="G22" s="32">
        <v>-2017</v>
      </c>
      <c r="H22" s="32">
        <v>-2085</v>
      </c>
      <c r="I22" s="57">
        <f>-I230</f>
        <v>-1968.95</v>
      </c>
      <c r="J22" s="57">
        <f t="shared" ref="J22:M22" si="18">-J230</f>
        <v>-1708.19</v>
      </c>
      <c r="K22" s="57">
        <f t="shared" si="18"/>
        <v>-1288.9000000000001</v>
      </c>
      <c r="L22" s="57">
        <f t="shared" si="18"/>
        <v>-897</v>
      </c>
      <c r="M22" s="57">
        <f t="shared" si="18"/>
        <v>-736</v>
      </c>
    </row>
    <row r="23" spans="3:13" x14ac:dyDescent="0.25">
      <c r="C23" t="s">
        <v>249</v>
      </c>
      <c r="D23" s="32">
        <v>18</v>
      </c>
      <c r="E23" s="32">
        <v>67</v>
      </c>
      <c r="F23" s="32">
        <v>179</v>
      </c>
      <c r="G23" s="32">
        <v>210</v>
      </c>
      <c r="H23" s="32">
        <v>206</v>
      </c>
      <c r="I23" s="57">
        <f ca="1">I233</f>
        <v>199.01155075505517</v>
      </c>
      <c r="J23" s="57">
        <f t="shared" ref="J23:M23" ca="1" si="19">J233</f>
        <v>188.04138136332469</v>
      </c>
      <c r="K23" s="57">
        <f t="shared" ca="1" si="19"/>
        <v>170.7414809242012</v>
      </c>
      <c r="L23" s="57">
        <f t="shared" ca="1" si="19"/>
        <v>170.49702755868634</v>
      </c>
      <c r="M23" s="57">
        <f t="shared" ca="1" si="19"/>
        <v>179.77829637212764</v>
      </c>
    </row>
    <row r="24" spans="3:13" x14ac:dyDescent="0.25">
      <c r="C24" s="1" t="s">
        <v>117</v>
      </c>
      <c r="D24" s="33">
        <v>36</v>
      </c>
      <c r="E24" s="33">
        <v>120</v>
      </c>
      <c r="F24" s="33">
        <v>-273</v>
      </c>
      <c r="G24" s="33">
        <v>451</v>
      </c>
      <c r="H24" s="33">
        <v>2780</v>
      </c>
      <c r="I24" s="29">
        <f>AVERAGE(D24:H24)</f>
        <v>622.79999999999995</v>
      </c>
      <c r="J24" s="29">
        <f t="shared" ref="J24:M24" si="20">I24</f>
        <v>622.79999999999995</v>
      </c>
      <c r="K24" s="29">
        <f t="shared" si="20"/>
        <v>622.79999999999995</v>
      </c>
      <c r="L24" s="29">
        <f t="shared" si="20"/>
        <v>622.79999999999995</v>
      </c>
      <c r="M24" s="29">
        <f t="shared" si="20"/>
        <v>622.79999999999995</v>
      </c>
    </row>
    <row r="25" spans="3:13" x14ac:dyDescent="0.25">
      <c r="C25" s="27" t="s">
        <v>118</v>
      </c>
      <c r="D25" s="30">
        <f>SUM(D22:D24)</f>
        <v>-579</v>
      </c>
      <c r="E25" s="30">
        <f>SUM(E22:E24)</f>
        <v>-1590</v>
      </c>
      <c r="F25" s="30">
        <f>SUM(F22:F24)</f>
        <v>-2315</v>
      </c>
      <c r="G25" s="30">
        <f>SUM(G22:G24)</f>
        <v>-1356</v>
      </c>
      <c r="H25" s="30">
        <f>SUM(H22:H24)</f>
        <v>901</v>
      </c>
      <c r="I25" s="30">
        <f t="shared" ref="I25:M25" ca="1" si="21">SUM(I22:I24)</f>
        <v>-1147.1384492449449</v>
      </c>
      <c r="J25" s="30">
        <f t="shared" ca="1" si="21"/>
        <v>-897.34861863667538</v>
      </c>
      <c r="K25" s="30">
        <f t="shared" ca="1" si="21"/>
        <v>-495.35851907579899</v>
      </c>
      <c r="L25" s="30">
        <f t="shared" ca="1" si="21"/>
        <v>-103.7029724413137</v>
      </c>
      <c r="M25" s="30">
        <f t="shared" ca="1" si="21"/>
        <v>66.578296372127625</v>
      </c>
    </row>
    <row r="26" spans="3:13" x14ac:dyDescent="0.25">
      <c r="C26" t="s">
        <v>119</v>
      </c>
      <c r="D26" s="28">
        <f>D21+D25</f>
        <v>1433</v>
      </c>
      <c r="E26" s="28">
        <f>E21+E25</f>
        <v>-8960</v>
      </c>
      <c r="F26" s="28">
        <f>F21+F25</f>
        <v>-3863</v>
      </c>
      <c r="G26" s="28">
        <f>G21+G25</f>
        <v>-11388</v>
      </c>
      <c r="H26" s="28">
        <f>H21+H25</f>
        <v>1639</v>
      </c>
      <c r="I26" s="28">
        <f t="shared" ref="I26:M26" ca="1" si="22">I21+I25</f>
        <v>-591.42294013270816</v>
      </c>
      <c r="J26" s="28">
        <f t="shared" ca="1" si="22"/>
        <v>1249.2751132045378</v>
      </c>
      <c r="K26" s="28">
        <f t="shared" ca="1" si="22"/>
        <v>1732.1494645578346</v>
      </c>
      <c r="L26" s="28">
        <f t="shared" ca="1" si="22"/>
        <v>2169.6941333595746</v>
      </c>
      <c r="M26" s="28">
        <f t="shared" ca="1" si="22"/>
        <v>2396.9720056927008</v>
      </c>
    </row>
    <row r="27" spans="3:13" x14ac:dyDescent="0.25">
      <c r="C27" s="1" t="s">
        <v>120</v>
      </c>
      <c r="D27" s="33">
        <v>-236</v>
      </c>
      <c r="E27" s="33">
        <v>1663</v>
      </c>
      <c r="F27" s="33">
        <v>784</v>
      </c>
      <c r="G27" s="33">
        <v>-94</v>
      </c>
      <c r="H27" s="33">
        <v>-890</v>
      </c>
      <c r="I27" s="29">
        <f ca="1">-I52*I26</f>
        <v>136.02727623052289</v>
      </c>
      <c r="J27" s="29">
        <f ca="1">-J52*J26</f>
        <v>-287.33327603704367</v>
      </c>
      <c r="K27" s="29">
        <f ca="1">-K52*K26</f>
        <v>-433.03736613945864</v>
      </c>
      <c r="L27" s="29">
        <f ca="1">-L52*L26</f>
        <v>-542.42353333989365</v>
      </c>
      <c r="M27" s="29">
        <f ca="1">-M52*M26</f>
        <v>-599.2430014231752</v>
      </c>
    </row>
    <row r="28" spans="3:13" x14ac:dyDescent="0.25">
      <c r="C28" s="2" t="s">
        <v>79</v>
      </c>
      <c r="D28" s="60">
        <f t="shared" ref="D28" si="23">SUM(D26:D27)</f>
        <v>1197</v>
      </c>
      <c r="E28" s="60">
        <f t="shared" ref="E28" si="24">SUM(E26:E27)</f>
        <v>-7297</v>
      </c>
      <c r="F28" s="60">
        <f t="shared" ref="F28" si="25">SUM(F26:F27)</f>
        <v>-3079</v>
      </c>
      <c r="G28" s="60">
        <f t="shared" ref="G28" si="26">SUM(G26:G27)</f>
        <v>-11482</v>
      </c>
      <c r="H28" s="60">
        <f t="shared" ref="H28:M28" si="27">SUM(H26:H27)</f>
        <v>749</v>
      </c>
      <c r="I28" s="60">
        <f t="shared" ca="1" si="27"/>
        <v>-455.39566390218528</v>
      </c>
      <c r="J28" s="60">
        <f t="shared" ca="1" si="27"/>
        <v>961.9418371674941</v>
      </c>
      <c r="K28" s="60">
        <f t="shared" ca="1" si="27"/>
        <v>1299.1120984183758</v>
      </c>
      <c r="L28" s="60">
        <f t="shared" ca="1" si="27"/>
        <v>1627.2706000196808</v>
      </c>
      <c r="M28" s="60">
        <f t="shared" ca="1" si="27"/>
        <v>1797.7290042695256</v>
      </c>
    </row>
    <row r="29" spans="3:13" x14ac:dyDescent="0.25">
      <c r="C29" t="s">
        <v>121</v>
      </c>
      <c r="D29" s="32">
        <v>-138</v>
      </c>
      <c r="E29" s="32">
        <v>-68</v>
      </c>
      <c r="F29" s="32">
        <v>-38</v>
      </c>
      <c r="G29" s="32">
        <v>129</v>
      </c>
      <c r="H29" s="32">
        <v>-24</v>
      </c>
      <c r="I29" s="28">
        <f>H29</f>
        <v>-24</v>
      </c>
      <c r="J29" s="28">
        <f t="shared" ref="J29:M30" si="28">I29</f>
        <v>-24</v>
      </c>
      <c r="K29" s="28">
        <f t="shared" si="28"/>
        <v>-24</v>
      </c>
      <c r="L29" s="28">
        <f t="shared" si="28"/>
        <v>-24</v>
      </c>
      <c r="M29" s="28">
        <f t="shared" si="28"/>
        <v>-24</v>
      </c>
    </row>
    <row r="30" spans="3:13" x14ac:dyDescent="0.25">
      <c r="C30" s="1" t="s">
        <v>122</v>
      </c>
      <c r="D30" s="33">
        <v>-53</v>
      </c>
      <c r="E30" s="33">
        <v>-6</v>
      </c>
      <c r="F30" s="33">
        <v>-9</v>
      </c>
      <c r="G30" s="33">
        <v>42</v>
      </c>
      <c r="H30" s="33">
        <v>2</v>
      </c>
      <c r="I30" s="29">
        <f>H30</f>
        <v>2</v>
      </c>
      <c r="J30" s="29">
        <f t="shared" si="28"/>
        <v>2</v>
      </c>
      <c r="K30" s="29">
        <f t="shared" si="28"/>
        <v>2</v>
      </c>
      <c r="L30" s="29">
        <f t="shared" si="28"/>
        <v>2</v>
      </c>
      <c r="M30" s="29">
        <f t="shared" si="28"/>
        <v>2</v>
      </c>
    </row>
    <row r="31" spans="3:13" x14ac:dyDescent="0.25">
      <c r="C31" s="2" t="s">
        <v>123</v>
      </c>
      <c r="D31" s="60">
        <f t="shared" ref="D31" si="29">SUM(D28:D30)</f>
        <v>1006</v>
      </c>
      <c r="E31" s="60">
        <f t="shared" ref="E31" si="30">SUM(E28:E30)</f>
        <v>-7371</v>
      </c>
      <c r="F31" s="60">
        <f t="shared" ref="F31" si="31">SUM(F28:F30)</f>
        <v>-3126</v>
      </c>
      <c r="G31" s="60">
        <f t="shared" ref="G31" si="32">SUM(G28:G30)</f>
        <v>-11311</v>
      </c>
      <c r="H31" s="60">
        <f t="shared" ref="H31:M31" si="33">SUM(H28:H30)</f>
        <v>727</v>
      </c>
      <c r="I31" s="60">
        <f t="shared" ca="1" si="33"/>
        <v>-477.39566390218528</v>
      </c>
      <c r="J31" s="60">
        <f t="shared" ca="1" si="33"/>
        <v>939.9418371674941</v>
      </c>
      <c r="K31" s="60">
        <f t="shared" ca="1" si="33"/>
        <v>1277.1120984183758</v>
      </c>
      <c r="L31" s="60">
        <f t="shared" ca="1" si="33"/>
        <v>1605.2706000196808</v>
      </c>
      <c r="M31" s="60">
        <f t="shared" ca="1" si="33"/>
        <v>1775.7290042695256</v>
      </c>
    </row>
    <row r="33" spans="3:13" x14ac:dyDescent="0.25">
      <c r="C33" t="s">
        <v>124</v>
      </c>
      <c r="D33" s="34">
        <v>1.55</v>
      </c>
      <c r="E33" s="34">
        <v>-3.82</v>
      </c>
      <c r="F33" s="34">
        <v>-1.28</v>
      </c>
      <c r="G33" s="34">
        <v>-4.62</v>
      </c>
      <c r="H33" s="34">
        <v>0.28999999999999998</v>
      </c>
      <c r="I33" s="31">
        <f ca="1">I252</f>
        <v>-0.19146990010885959</v>
      </c>
      <c r="J33" s="31">
        <f t="shared" ref="J33:M33" ca="1" si="34">J252</f>
        <v>0.38222058241997731</v>
      </c>
      <c r="K33" s="31">
        <f t="shared" ca="1" si="34"/>
        <v>0.51276279128896574</v>
      </c>
      <c r="L33" s="31">
        <f t="shared" ca="1" si="34"/>
        <v>0.64524788412704437</v>
      </c>
      <c r="M33" s="31">
        <f t="shared" ca="1" si="34"/>
        <v>0.71420480266897068</v>
      </c>
    </row>
    <row r="34" spans="3:13" x14ac:dyDescent="0.25">
      <c r="C34" t="s">
        <v>125</v>
      </c>
      <c r="D34" s="34">
        <v>1.54</v>
      </c>
      <c r="E34" s="34">
        <v>-3.82</v>
      </c>
      <c r="F34" s="34">
        <v>-1.28</v>
      </c>
      <c r="G34" s="34">
        <v>-4.62</v>
      </c>
      <c r="H34" s="34">
        <v>0.28999999999999998</v>
      </c>
      <c r="I34" s="31">
        <f ca="1">I255</f>
        <v>-0.18315193168195418</v>
      </c>
      <c r="J34" s="31">
        <f t="shared" ref="J34:M34" ca="1" si="35">J255</f>
        <v>0.36539539604414217</v>
      </c>
      <c r="K34" s="31">
        <f t="shared" ca="1" si="35"/>
        <v>0.4904641463334482</v>
      </c>
      <c r="L34" s="31">
        <f t="shared" ca="1" si="35"/>
        <v>0.61715747564052703</v>
      </c>
      <c r="M34" s="31">
        <f t="shared" ca="1" si="35"/>
        <v>0.68309406469035738</v>
      </c>
    </row>
    <row r="35" spans="3:13" x14ac:dyDescent="0.25">
      <c r="D35" s="35"/>
      <c r="E35" s="35"/>
      <c r="F35" s="35"/>
      <c r="G35" s="35"/>
      <c r="H35" s="35"/>
    </row>
    <row r="36" spans="3:13" x14ac:dyDescent="0.25">
      <c r="C36" t="s">
        <v>126</v>
      </c>
      <c r="D36" s="32">
        <v>588</v>
      </c>
      <c r="E36" s="32">
        <v>1940</v>
      </c>
      <c r="F36" s="32">
        <v>2436</v>
      </c>
      <c r="G36" s="32">
        <v>2450</v>
      </c>
      <c r="H36" s="32">
        <v>2475</v>
      </c>
      <c r="I36" s="28">
        <f>I251</f>
        <v>2493.3196477919691</v>
      </c>
      <c r="J36" s="28">
        <f ca="1">J251</f>
        <v>2459.1607056228659</v>
      </c>
      <c r="K36" s="28">
        <f ca="1">K251</f>
        <v>2490.6489318540735</v>
      </c>
      <c r="L36" s="28">
        <f ca="1">L251</f>
        <v>2487.8355117606484</v>
      </c>
      <c r="M36" s="28">
        <f ca="1">M251</f>
        <v>2486.302245005435</v>
      </c>
    </row>
    <row r="37" spans="3:13" x14ac:dyDescent="0.25">
      <c r="C37" t="s">
        <v>127</v>
      </c>
      <c r="D37" s="32">
        <v>664</v>
      </c>
      <c r="E37" s="32">
        <v>1940</v>
      </c>
      <c r="F37" s="32">
        <v>2436</v>
      </c>
      <c r="G37" s="32">
        <v>2450</v>
      </c>
      <c r="H37" s="32">
        <v>2530</v>
      </c>
      <c r="I37" s="28">
        <f>I254</f>
        <v>2606.5554401642312</v>
      </c>
      <c r="J37" s="28">
        <f t="shared" ref="J37:M37" ca="1" si="36">J254</f>
        <v>2572.3964979951279</v>
      </c>
      <c r="K37" s="28">
        <f t="shared" ca="1" si="36"/>
        <v>2603.8847242263355</v>
      </c>
      <c r="L37" s="28">
        <f t="shared" ca="1" si="36"/>
        <v>2601.0713041329109</v>
      </c>
      <c r="M37" s="28">
        <f t="shared" ca="1" si="36"/>
        <v>2599.5380373776975</v>
      </c>
    </row>
    <row r="38" spans="3:13" x14ac:dyDescent="0.25">
      <c r="D38" s="32"/>
      <c r="E38" s="32"/>
      <c r="F38" s="32"/>
      <c r="G38" s="32"/>
      <c r="H38" s="32"/>
      <c r="I38" s="28"/>
      <c r="J38" s="28"/>
      <c r="K38" s="28"/>
      <c r="L38" s="28"/>
      <c r="M38" s="28"/>
    </row>
    <row r="39" spans="3:13" x14ac:dyDescent="0.25">
      <c r="C39" t="s">
        <v>171</v>
      </c>
      <c r="D39" s="57">
        <f>D21-D17</f>
        <v>3594</v>
      </c>
      <c r="E39" s="57">
        <f t="shared" ref="E39:M39" si="37">E21-E17</f>
        <v>-177</v>
      </c>
      <c r="F39" s="57">
        <f t="shared" si="37"/>
        <v>6437</v>
      </c>
      <c r="G39" s="57">
        <f t="shared" si="37"/>
        <v>-2995</v>
      </c>
      <c r="H39" s="57">
        <f t="shared" si="37"/>
        <v>6422</v>
      </c>
      <c r="I39" s="57">
        <f t="shared" si="37"/>
        <v>5658.6057505255249</v>
      </c>
      <c r="J39" s="57">
        <f t="shared" si="37"/>
        <v>6297.1762409909879</v>
      </c>
      <c r="K39" s="57">
        <f t="shared" si="37"/>
        <v>5701.8519081831828</v>
      </c>
      <c r="L39" s="57">
        <f t="shared" si="37"/>
        <v>5519.7331598348328</v>
      </c>
      <c r="M39" s="57">
        <f t="shared" si="37"/>
        <v>5435.1554252552578</v>
      </c>
    </row>
    <row r="40" spans="3:13" x14ac:dyDescent="0.25">
      <c r="C40" t="s">
        <v>175</v>
      </c>
      <c r="D40" s="32">
        <v>178</v>
      </c>
      <c r="E40" s="32">
        <v>412</v>
      </c>
      <c r="F40" s="32">
        <v>500</v>
      </c>
      <c r="G40" s="32">
        <v>557</v>
      </c>
      <c r="H40" s="32">
        <v>769</v>
      </c>
      <c r="I40" s="28">
        <f>H40*(1+I44)</f>
        <v>771.80725412912909</v>
      </c>
      <c r="J40" s="28">
        <f t="shared" ref="J40:M40" si="38">I40*(1+J44)</f>
        <v>786.10332207207193</v>
      </c>
      <c r="K40" s="28">
        <f t="shared" si="38"/>
        <v>798.84349286786778</v>
      </c>
      <c r="L40" s="28">
        <f t="shared" si="38"/>
        <v>800.5255772737022</v>
      </c>
      <c r="M40" s="28">
        <f t="shared" si="38"/>
        <v>811.07932700557683</v>
      </c>
    </row>
    <row r="41" spans="3:13" x14ac:dyDescent="0.25">
      <c r="C41" t="s">
        <v>176</v>
      </c>
      <c r="D41" s="57">
        <f>SUM(D39:D40)</f>
        <v>3772</v>
      </c>
      <c r="E41" s="57">
        <f t="shared" ref="E41:M41" si="39">SUM(E39:E40)</f>
        <v>235</v>
      </c>
      <c r="F41" s="57">
        <f t="shared" si="39"/>
        <v>6937</v>
      </c>
      <c r="G41" s="57">
        <f t="shared" si="39"/>
        <v>-2438</v>
      </c>
      <c r="H41" s="57">
        <f t="shared" si="39"/>
        <v>7191</v>
      </c>
      <c r="I41" s="57">
        <f t="shared" si="39"/>
        <v>6430.4130046546543</v>
      </c>
      <c r="J41" s="57">
        <f t="shared" si="39"/>
        <v>7083.2795630630599</v>
      </c>
      <c r="K41" s="57">
        <f t="shared" si="39"/>
        <v>6500.6954010510508</v>
      </c>
      <c r="L41" s="57">
        <f t="shared" si="39"/>
        <v>6320.2587371085347</v>
      </c>
      <c r="M41" s="57">
        <f t="shared" si="39"/>
        <v>6246.2347522608343</v>
      </c>
    </row>
    <row r="42" spans="3:13" x14ac:dyDescent="0.25">
      <c r="D42" s="32"/>
      <c r="E42" s="32"/>
      <c r="F42" s="32"/>
      <c r="G42" s="32"/>
      <c r="H42" s="32"/>
      <c r="I42" s="28"/>
      <c r="J42" s="28"/>
      <c r="K42" s="28"/>
      <c r="L42" s="28"/>
      <c r="M42" s="28"/>
    </row>
    <row r="43" spans="3:13" x14ac:dyDescent="0.25">
      <c r="C43" s="52" t="s">
        <v>177</v>
      </c>
      <c r="D43" s="33"/>
      <c r="E43" s="33"/>
      <c r="F43" s="33"/>
      <c r="G43" s="33"/>
      <c r="H43" s="33"/>
      <c r="I43" s="29"/>
      <c r="J43" s="29"/>
      <c r="K43" s="29"/>
      <c r="L43" s="29"/>
      <c r="M43" s="29"/>
    </row>
    <row r="44" spans="3:13" x14ac:dyDescent="0.25">
      <c r="C44" t="s">
        <v>178</v>
      </c>
      <c r="D44" s="54"/>
      <c r="E44" s="54">
        <f>E13/D13-1</f>
        <v>1.7739315888770406</v>
      </c>
      <c r="F44" s="54">
        <f>F13/E13-1</f>
        <v>0.22190022769612927</v>
      </c>
      <c r="G44" s="54">
        <f>G13/F13-1</f>
        <v>-4.8401539168945518E-2</v>
      </c>
      <c r="H44" s="54">
        <f>H13/G13-1</f>
        <v>-5.1499198901350463E-2</v>
      </c>
      <c r="I44" s="54">
        <f>I13/H13-1</f>
        <v>3.650525525525472E-3</v>
      </c>
      <c r="J44" s="54">
        <f>J13/I13-1</f>
        <v>1.8522847338450887E-2</v>
      </c>
      <c r="K44" s="54">
        <f>K13/J13-1</f>
        <v>1.6206738272285026E-2</v>
      </c>
      <c r="L44" s="54">
        <f>L13/K13-1</f>
        <v>2.1056495056317459E-3</v>
      </c>
      <c r="M44" s="54">
        <f>M13/L13-1</f>
        <v>1.3183525962801701E-2</v>
      </c>
    </row>
    <row r="45" spans="3:13" x14ac:dyDescent="0.25">
      <c r="C45" t="s">
        <v>179</v>
      </c>
      <c r="D45" s="54">
        <f>D15/D13</f>
        <v>0.62103190878516934</v>
      </c>
      <c r="E45" s="54">
        <f>E15/E13</f>
        <v>0.39551113345358846</v>
      </c>
      <c r="F45" s="54">
        <f>F15/F13</f>
        <v>0.40645192517122042</v>
      </c>
      <c r="G45" s="54">
        <f>G15/G13</f>
        <v>0.41583377838813868</v>
      </c>
      <c r="H45" s="54">
        <f>H15/H13</f>
        <v>0.44002037752037754</v>
      </c>
      <c r="I45" s="53">
        <v>0.41899999999999998</v>
      </c>
      <c r="J45" s="53">
        <v>0.433</v>
      </c>
      <c r="K45" s="53">
        <v>0.41499999999999998</v>
      </c>
      <c r="L45" s="53">
        <v>0.41</v>
      </c>
      <c r="M45" s="53">
        <v>0.40600000000000003</v>
      </c>
    </row>
    <row r="46" spans="3:13" x14ac:dyDescent="0.25">
      <c r="D46" s="32"/>
      <c r="E46" s="32"/>
      <c r="F46" s="32"/>
      <c r="G46" s="32"/>
      <c r="H46" s="32"/>
      <c r="I46" s="28"/>
      <c r="J46" s="28"/>
      <c r="K46" s="28"/>
      <c r="L46" s="28"/>
      <c r="M46" s="28"/>
    </row>
    <row r="47" spans="3:13" x14ac:dyDescent="0.25">
      <c r="C47" t="s">
        <v>180</v>
      </c>
      <c r="D47" s="54">
        <f>-D16/D13</f>
        <v>0.32942334509064064</v>
      </c>
      <c r="E47" s="54">
        <f>-E16/E13</f>
        <v>0.28618742052813673</v>
      </c>
      <c r="F47" s="54">
        <f>-F16/F13</f>
        <v>0.23465066189104813</v>
      </c>
      <c r="G47" s="54">
        <f>-G16/G13</f>
        <v>0.23641311258614989</v>
      </c>
      <c r="H47" s="54">
        <f>-H16/H13</f>
        <v>0.25252037752037754</v>
      </c>
      <c r="I47" s="54">
        <f>H47</f>
        <v>0.25252037752037754</v>
      </c>
      <c r="J47" s="54">
        <f t="shared" ref="J47:M47" si="40">I47</f>
        <v>0.25252037752037754</v>
      </c>
      <c r="K47" s="54">
        <f t="shared" si="40"/>
        <v>0.25252037752037754</v>
      </c>
      <c r="L47" s="54">
        <f t="shared" si="40"/>
        <v>0.25252037752037754</v>
      </c>
      <c r="M47" s="54">
        <f t="shared" si="40"/>
        <v>0.25252037752037754</v>
      </c>
    </row>
    <row r="48" spans="3:13" x14ac:dyDescent="0.25">
      <c r="C48" t="s">
        <v>181</v>
      </c>
      <c r="D48" s="54">
        <f>-D17/D13</f>
        <v>0.12976786153719957</v>
      </c>
      <c r="E48" s="54">
        <f>-E17/E13</f>
        <v>0.21270366975189994</v>
      </c>
      <c r="F48" s="54">
        <f>-F17/F13</f>
        <v>0.19324314513201521</v>
      </c>
      <c r="G48" s="54">
        <f>-G17/G13</f>
        <v>0.17896289514508787</v>
      </c>
      <c r="H48" s="54">
        <f>-H17/H13</f>
        <v>0.15240240240240241</v>
      </c>
      <c r="I48" s="54">
        <f>H48</f>
        <v>0.15240240240240241</v>
      </c>
      <c r="J48" s="54">
        <f t="shared" ref="J48:M48" si="41">-J17/J13</f>
        <v>0.10886552331509816</v>
      </c>
      <c r="K48" s="54">
        <f t="shared" si="41"/>
        <v>8.9675785328788976E-2</v>
      </c>
      <c r="L48" s="54">
        <f t="shared" si="41"/>
        <v>8.3614644236272281E-2</v>
      </c>
      <c r="M48" s="54">
        <f t="shared" si="41"/>
        <v>7.8927623431042079E-2</v>
      </c>
    </row>
    <row r="49" spans="2:13" x14ac:dyDescent="0.25">
      <c r="C49" t="s">
        <v>182</v>
      </c>
      <c r="D49" s="54">
        <f>-D18/D13</f>
        <v>2.6248872118776146E-3</v>
      </c>
      <c r="E49" s="54">
        <f>-E18/E13</f>
        <v>0.11109796847739303</v>
      </c>
      <c r="F49" s="54">
        <f>-F18/F13</f>
        <v>1.415745020691658E-2</v>
      </c>
      <c r="G49" s="54">
        <f>-G18/G13</f>
        <v>1.1367971313038834E-2</v>
      </c>
      <c r="H49" s="54">
        <f>-H18/H13</f>
        <v>1.0698198198198198E-2</v>
      </c>
      <c r="I49" s="51">
        <f>H49</f>
        <v>1.0698198198198198E-2</v>
      </c>
      <c r="J49" s="51">
        <f t="shared" ref="J49:M49" si="42">I49</f>
        <v>1.0698198198198198E-2</v>
      </c>
      <c r="K49" s="51">
        <f t="shared" si="42"/>
        <v>1.0698198198198198E-2</v>
      </c>
      <c r="L49" s="51">
        <f t="shared" si="42"/>
        <v>1.0698198198198198E-2</v>
      </c>
      <c r="M49" s="51">
        <f t="shared" si="42"/>
        <v>1.0698198198198198E-2</v>
      </c>
    </row>
    <row r="50" spans="2:13" x14ac:dyDescent="0.25">
      <c r="C50" s="55" t="s">
        <v>183</v>
      </c>
      <c r="D50" s="54">
        <f>-D19/D13</f>
        <v>-5.8239685013534576E-3</v>
      </c>
      <c r="E50" s="54">
        <f>-E19/E13</f>
        <v>3.4597983262855958E-3</v>
      </c>
      <c r="F50" s="54">
        <f>-F19/F13</f>
        <v>1.8634592580044046E-3</v>
      </c>
      <c r="G50" s="54">
        <f>-G19/G13</f>
        <v>0.24422064545662622</v>
      </c>
      <c r="H50" s="54">
        <f>-H19/H13</f>
        <v>4.6117546117546114E-3</v>
      </c>
      <c r="I50" s="54">
        <f>H50</f>
        <v>4.6117546117546114E-3</v>
      </c>
      <c r="J50" s="54">
        <f t="shared" ref="J50:M50" si="43">I50</f>
        <v>4.6117546117546114E-3</v>
      </c>
      <c r="K50" s="54">
        <f t="shared" si="43"/>
        <v>4.6117546117546114E-3</v>
      </c>
      <c r="L50" s="54">
        <f t="shared" si="43"/>
        <v>4.6117546117546114E-3</v>
      </c>
      <c r="M50" s="54">
        <f t="shared" si="43"/>
        <v>4.6117546117546114E-3</v>
      </c>
    </row>
    <row r="51" spans="2:13" x14ac:dyDescent="0.25">
      <c r="C51" s="55"/>
      <c r="D51" s="54"/>
      <c r="E51" s="54"/>
      <c r="F51" s="54"/>
      <c r="G51" s="54"/>
      <c r="H51" s="54"/>
      <c r="I51" s="54"/>
      <c r="J51" s="54"/>
      <c r="K51" s="54"/>
      <c r="L51" s="54"/>
      <c r="M51" s="54"/>
    </row>
    <row r="52" spans="2:13" x14ac:dyDescent="0.25">
      <c r="C52" s="56" t="s">
        <v>184</v>
      </c>
      <c r="D52" s="54">
        <f>-D27/D26</f>
        <v>0.16468946266573622</v>
      </c>
      <c r="E52" s="54">
        <f>-E27/E26</f>
        <v>0.18560267857142856</v>
      </c>
      <c r="F52" s="54">
        <f>-F27/F26</f>
        <v>0.2029510742945897</v>
      </c>
      <c r="G52" s="54">
        <f>-G27/G26</f>
        <v>-8.2543027748507199E-3</v>
      </c>
      <c r="H52" s="54">
        <f>-H27/H26</f>
        <v>0.54301403294691886</v>
      </c>
      <c r="I52" s="53">
        <v>0.23</v>
      </c>
      <c r="J52" s="53">
        <v>0.23</v>
      </c>
      <c r="K52" s="53">
        <v>0.25</v>
      </c>
      <c r="L52" s="53">
        <v>0.25</v>
      </c>
      <c r="M52" s="53">
        <v>0.25</v>
      </c>
    </row>
    <row r="55" spans="2:13" x14ac:dyDescent="0.25">
      <c r="B55" t="s">
        <v>129</v>
      </c>
      <c r="C55" s="14" t="s">
        <v>128</v>
      </c>
      <c r="D55" s="16"/>
      <c r="E55" s="16"/>
      <c r="F55" s="16"/>
      <c r="G55" s="16"/>
      <c r="H55" s="16"/>
      <c r="I55" s="16"/>
      <c r="J55" s="16"/>
      <c r="K55" s="16"/>
      <c r="L55" s="16"/>
      <c r="M55" s="15"/>
    </row>
    <row r="56" spans="2:13" x14ac:dyDescent="0.25">
      <c r="C56" s="40" t="s">
        <v>103</v>
      </c>
      <c r="D56" s="41">
        <v>2021</v>
      </c>
      <c r="E56" s="41">
        <v>2022</v>
      </c>
      <c r="F56" s="41">
        <v>2023</v>
      </c>
      <c r="G56" s="41">
        <v>2024</v>
      </c>
      <c r="H56" s="41">
        <v>2025</v>
      </c>
      <c r="I56" s="42">
        <v>2026</v>
      </c>
      <c r="J56" s="42">
        <v>2027</v>
      </c>
      <c r="K56" s="42">
        <v>2028</v>
      </c>
      <c r="L56" s="42">
        <v>2029</v>
      </c>
      <c r="M56" s="42">
        <v>2030</v>
      </c>
    </row>
    <row r="57" spans="2:13" x14ac:dyDescent="0.25">
      <c r="C57" s="18" t="s">
        <v>104</v>
      </c>
      <c r="D57" s="43">
        <v>44561</v>
      </c>
      <c r="E57" s="43">
        <f>EOMONTH(D57,12)</f>
        <v>44926</v>
      </c>
      <c r="F57" s="43">
        <f t="shared" ref="F57:M57" si="44">EOMONTH(E57,12)</f>
        <v>45291</v>
      </c>
      <c r="G57" s="43">
        <f t="shared" si="44"/>
        <v>45657</v>
      </c>
      <c r="H57" s="43">
        <f t="shared" si="44"/>
        <v>46022</v>
      </c>
      <c r="I57" s="43">
        <f t="shared" si="44"/>
        <v>46387</v>
      </c>
      <c r="J57" s="43">
        <f t="shared" si="44"/>
        <v>46752</v>
      </c>
      <c r="K57" s="43">
        <f t="shared" si="44"/>
        <v>47118</v>
      </c>
      <c r="L57" s="43">
        <f t="shared" si="44"/>
        <v>47483</v>
      </c>
      <c r="M57" s="43">
        <f t="shared" si="44"/>
        <v>47848</v>
      </c>
    </row>
    <row r="59" spans="2:13" x14ac:dyDescent="0.25">
      <c r="C59" t="s">
        <v>130</v>
      </c>
      <c r="D59" s="32">
        <v>3905</v>
      </c>
      <c r="E59" s="32">
        <v>3731</v>
      </c>
      <c r="F59" s="32">
        <v>3780</v>
      </c>
      <c r="G59" s="32">
        <v>5312</v>
      </c>
      <c r="H59" s="32">
        <v>4566</v>
      </c>
      <c r="I59" s="28">
        <f ca="1">I116</f>
        <v>4976.8936813516275</v>
      </c>
      <c r="J59" s="28">
        <f t="shared" ref="J59:M59" ca="1" si="45">J116</f>
        <v>4039.96440169168</v>
      </c>
      <c r="K59" s="28">
        <f t="shared" ca="1" si="45"/>
        <v>4147.3382612658897</v>
      </c>
      <c r="L59" s="28">
        <f t="shared" ca="1" si="45"/>
        <v>4028.2425068151961</v>
      </c>
      <c r="M59" s="28">
        <f t="shared" ca="1" si="45"/>
        <v>4592.3886172812927</v>
      </c>
    </row>
    <row r="60" spans="2:13" x14ac:dyDescent="0.25">
      <c r="C60" t="s">
        <v>131</v>
      </c>
      <c r="D60" s="32">
        <v>2446</v>
      </c>
      <c r="E60" s="32">
        <v>6380</v>
      </c>
      <c r="F60" s="32">
        <v>6047</v>
      </c>
      <c r="G60" s="32">
        <v>4947</v>
      </c>
      <c r="H60" s="32">
        <v>5294</v>
      </c>
      <c r="I60" s="28">
        <f>I126</f>
        <v>5313.3258821321315</v>
      </c>
      <c r="J60" s="28">
        <f t="shared" ref="J60:M60" si="46">J126</f>
        <v>5411.7438063063046</v>
      </c>
      <c r="K60" s="28">
        <f t="shared" si="46"/>
        <v>5499.4505217717706</v>
      </c>
      <c r="L60" s="28">
        <f t="shared" si="46"/>
        <v>5511.0304370441854</v>
      </c>
      <c r="M60" s="28">
        <f t="shared" si="46"/>
        <v>5583.6852498927483</v>
      </c>
    </row>
    <row r="61" spans="2:13" x14ac:dyDescent="0.25">
      <c r="C61" t="s">
        <v>132</v>
      </c>
      <c r="D61" s="32">
        <v>913</v>
      </c>
      <c r="E61" s="32">
        <v>3888</v>
      </c>
      <c r="F61" s="32">
        <v>4391</v>
      </c>
      <c r="G61" s="32">
        <v>3819</v>
      </c>
      <c r="H61" s="32">
        <v>3346</v>
      </c>
      <c r="I61" s="28">
        <f>I136</f>
        <v>3358.214658408408</v>
      </c>
      <c r="J61" s="28">
        <f t="shared" ref="J61:M61" si="47">J136</f>
        <v>3420.4183558558548</v>
      </c>
      <c r="K61" s="28">
        <f t="shared" si="47"/>
        <v>3475.85218093093</v>
      </c>
      <c r="L61" s="28">
        <f t="shared" si="47"/>
        <v>3483.171107357356</v>
      </c>
      <c r="M61" s="28">
        <f t="shared" si="47"/>
        <v>3529.0915840840826</v>
      </c>
    </row>
    <row r="62" spans="2:13" x14ac:dyDescent="0.25">
      <c r="C62" t="s">
        <v>133</v>
      </c>
      <c r="D62" s="32">
        <v>1336</v>
      </c>
      <c r="E62" s="32">
        <v>5301</v>
      </c>
      <c r="F62" s="32">
        <v>5957</v>
      </c>
      <c r="G62" s="32">
        <v>6087</v>
      </c>
      <c r="H62" s="32">
        <v>6685</v>
      </c>
      <c r="I62" s="28">
        <f>I181</f>
        <v>6691.2316898930185</v>
      </c>
      <c r="J62" s="28">
        <f t="shared" ref="J62:M62" si="48">J181</f>
        <v>6880.9773226351354</v>
      </c>
      <c r="K62" s="28">
        <f t="shared" si="48"/>
        <v>7155.7147212837835</v>
      </c>
      <c r="L62" s="28">
        <f t="shared" si="48"/>
        <v>7422.1282031250003</v>
      </c>
      <c r="M62" s="28">
        <f t="shared" si="48"/>
        <v>7645.1311573962357</v>
      </c>
    </row>
    <row r="63" spans="2:13" x14ac:dyDescent="0.25">
      <c r="C63" t="s">
        <v>134</v>
      </c>
      <c r="D63" s="32">
        <v>12912</v>
      </c>
      <c r="E63" s="32">
        <v>34438</v>
      </c>
      <c r="F63" s="32">
        <v>34969</v>
      </c>
      <c r="G63" s="32">
        <v>25667</v>
      </c>
      <c r="H63" s="32">
        <v>25933</v>
      </c>
      <c r="I63" s="28">
        <f>H63</f>
        <v>25933</v>
      </c>
      <c r="J63" s="28">
        <f t="shared" ref="J63:M63" si="49">I63</f>
        <v>25933</v>
      </c>
      <c r="K63" s="28">
        <f t="shared" si="49"/>
        <v>25933</v>
      </c>
      <c r="L63" s="28">
        <f t="shared" si="49"/>
        <v>25933</v>
      </c>
      <c r="M63" s="28">
        <f t="shared" si="49"/>
        <v>25933</v>
      </c>
    </row>
    <row r="64" spans="2:13" x14ac:dyDescent="0.25">
      <c r="C64" t="s">
        <v>135</v>
      </c>
      <c r="D64" s="32">
        <v>10149</v>
      </c>
      <c r="E64" s="32">
        <v>71634</v>
      </c>
      <c r="F64" s="32">
        <v>59514</v>
      </c>
      <c r="G64" s="32">
        <v>51401</v>
      </c>
      <c r="H64" s="32">
        <v>46878</v>
      </c>
      <c r="I64" s="28">
        <f>I207</f>
        <v>47049.129335585581</v>
      </c>
      <c r="J64" s="28">
        <f t="shared" ref="J64:M64" si="50">J207</f>
        <v>47920.613175675666</v>
      </c>
      <c r="K64" s="28">
        <f t="shared" si="50"/>
        <v>48697.250011261254</v>
      </c>
      <c r="L64" s="28">
        <f t="shared" si="50"/>
        <v>48799.789351673091</v>
      </c>
      <c r="M64" s="28">
        <f t="shared" si="50"/>
        <v>49443.142641570128</v>
      </c>
    </row>
    <row r="65" spans="3:13" x14ac:dyDescent="0.25">
      <c r="C65" s="1" t="s">
        <v>185</v>
      </c>
      <c r="D65" s="33">
        <v>2766</v>
      </c>
      <c r="E65" s="33">
        <v>8629</v>
      </c>
      <c r="F65" s="33">
        <v>8099</v>
      </c>
      <c r="G65" s="33">
        <v>7327</v>
      </c>
      <c r="H65" s="33">
        <v>7383</v>
      </c>
      <c r="I65" s="29">
        <f>H65*(1+I44)</f>
        <v>7409.9518299549545</v>
      </c>
      <c r="J65" s="29">
        <f>I65*(1+J44)</f>
        <v>7547.2052364864849</v>
      </c>
      <c r="K65" s="29">
        <f>J65*(1+K44)</f>
        <v>7669.5208164414407</v>
      </c>
      <c r="L65" s="29">
        <f>K65*(1+L44)</f>
        <v>7685.6701391570132</v>
      </c>
      <c r="M65" s="29">
        <f>L65*(1+M44)</f>
        <v>7786.9943709781192</v>
      </c>
    </row>
    <row r="66" spans="3:13" ht="15.75" thickBot="1" x14ac:dyDescent="0.3">
      <c r="C66" s="36" t="s">
        <v>136</v>
      </c>
      <c r="D66" s="78">
        <f>SUM(D59:D65)</f>
        <v>34427</v>
      </c>
      <c r="E66" s="78">
        <f>SUM(E59:E65)</f>
        <v>134001</v>
      </c>
      <c r="F66" s="78">
        <f>SUM(F59:F65)</f>
        <v>122757</v>
      </c>
      <c r="G66" s="78">
        <f>SUM(G59:G65)</f>
        <v>104560</v>
      </c>
      <c r="H66" s="78">
        <f>SUM(H59:H65)</f>
        <v>100085</v>
      </c>
      <c r="I66" s="78">
        <f t="shared" ref="I66:M66" ca="1" si="51">SUM(I59:I65)</f>
        <v>100731.74707732571</v>
      </c>
      <c r="J66" s="78">
        <f t="shared" ca="1" si="51"/>
        <v>101153.92229865112</v>
      </c>
      <c r="K66" s="78">
        <f t="shared" ca="1" si="51"/>
        <v>102578.12651295507</v>
      </c>
      <c r="L66" s="78">
        <f t="shared" ca="1" si="51"/>
        <v>102863.03174517184</v>
      </c>
      <c r="M66" s="78">
        <f t="shared" ca="1" si="51"/>
        <v>104513.43362120261</v>
      </c>
    </row>
    <row r="67" spans="3:13" ht="15.75" thickTop="1" x14ac:dyDescent="0.25">
      <c r="D67" s="28"/>
      <c r="E67" s="28"/>
      <c r="F67" s="28"/>
      <c r="G67" s="28"/>
      <c r="H67" s="28"/>
      <c r="I67" s="28"/>
      <c r="J67" s="28"/>
      <c r="K67" s="28"/>
      <c r="L67" s="28"/>
      <c r="M67" s="28"/>
    </row>
    <row r="68" spans="3:13" x14ac:dyDescent="0.25">
      <c r="C68" t="s">
        <v>137</v>
      </c>
      <c r="D68" s="32">
        <v>412</v>
      </c>
      <c r="E68" s="32">
        <v>1454</v>
      </c>
      <c r="F68" s="32">
        <v>1260</v>
      </c>
      <c r="G68" s="32">
        <v>1055</v>
      </c>
      <c r="H68" s="32">
        <v>1093</v>
      </c>
      <c r="I68" s="28">
        <f>I146</f>
        <v>1138.1685664807278</v>
      </c>
      <c r="J68" s="28">
        <f t="shared" ref="J68:M68" si="52">J146</f>
        <v>1131.3169375389036</v>
      </c>
      <c r="K68" s="28">
        <f t="shared" si="52"/>
        <v>1186.148780605698</v>
      </c>
      <c r="L68" s="28">
        <f t="shared" si="52"/>
        <v>1198.8057650897774</v>
      </c>
      <c r="M68" s="28">
        <f t="shared" si="52"/>
        <v>1222.8448977945891</v>
      </c>
    </row>
    <row r="69" spans="3:13" x14ac:dyDescent="0.25">
      <c r="C69" t="s">
        <v>138</v>
      </c>
      <c r="D69" s="32">
        <v>2230</v>
      </c>
      <c r="E69" s="32">
        <v>11504</v>
      </c>
      <c r="F69" s="32">
        <v>10368</v>
      </c>
      <c r="G69" s="32">
        <v>10438</v>
      </c>
      <c r="H69" s="32">
        <v>9626</v>
      </c>
      <c r="I69" s="28">
        <f>I156</f>
        <v>10023.797457404837</v>
      </c>
      <c r="J69" s="28">
        <f t="shared" ref="J69:M69" si="53">J156</f>
        <v>9963.4554810150839</v>
      </c>
      <c r="K69" s="28">
        <f t="shared" si="53"/>
        <v>10446.356964419441</v>
      </c>
      <c r="L69" s="28">
        <f t="shared" si="53"/>
        <v>10557.826436188654</v>
      </c>
      <c r="M69" s="28">
        <f t="shared" si="53"/>
        <v>10769.537956240363</v>
      </c>
    </row>
    <row r="70" spans="3:13" x14ac:dyDescent="0.25">
      <c r="C70" t="s">
        <v>139</v>
      </c>
      <c r="D70" s="32">
        <v>478</v>
      </c>
      <c r="E70" s="32">
        <v>1694</v>
      </c>
      <c r="F70" s="32">
        <v>1924</v>
      </c>
      <c r="G70" s="32">
        <v>1569</v>
      </c>
      <c r="H70" s="32">
        <v>1642</v>
      </c>
      <c r="I70" s="28">
        <f>I166</f>
        <v>1647.9941629129128</v>
      </c>
      <c r="J70" s="28">
        <f t="shared" ref="J70:M70" si="54">J166</f>
        <v>1678.5197072072069</v>
      </c>
      <c r="K70" s="28">
        <f t="shared" si="54"/>
        <v>1705.7230367867867</v>
      </c>
      <c r="L70" s="28">
        <f t="shared" si="54"/>
        <v>1709.3146916559415</v>
      </c>
      <c r="M70" s="28">
        <f t="shared" si="54"/>
        <v>1731.8494862719861</v>
      </c>
    </row>
    <row r="71" spans="3:13" x14ac:dyDescent="0.25">
      <c r="C71" t="s">
        <v>140</v>
      </c>
      <c r="D71" s="32">
        <v>339</v>
      </c>
      <c r="E71" s="32">
        <v>365</v>
      </c>
      <c r="F71" s="32">
        <v>1780</v>
      </c>
      <c r="G71" s="32">
        <v>2748</v>
      </c>
      <c r="H71" s="32">
        <v>139</v>
      </c>
      <c r="I71" s="28">
        <f>I223</f>
        <v>16483</v>
      </c>
      <c r="J71" s="28">
        <f t="shared" ref="J71:M71" si="55">J223</f>
        <v>1409</v>
      </c>
      <c r="K71" s="28">
        <f t="shared" si="55"/>
        <v>2274</v>
      </c>
      <c r="L71" s="28">
        <f t="shared" si="55"/>
        <v>1354</v>
      </c>
      <c r="M71" s="28">
        <f t="shared" si="55"/>
        <v>0</v>
      </c>
    </row>
    <row r="72" spans="3:13" x14ac:dyDescent="0.25">
      <c r="C72" t="s">
        <v>159</v>
      </c>
      <c r="D72" s="32">
        <v>14420</v>
      </c>
      <c r="E72" s="32">
        <v>48634</v>
      </c>
      <c r="F72" s="32">
        <v>41889</v>
      </c>
      <c r="G72" s="32">
        <v>36757</v>
      </c>
      <c r="H72" s="32">
        <v>32428</v>
      </c>
      <c r="I72" s="28">
        <f>I229</f>
        <v>15945</v>
      </c>
      <c r="J72" s="28">
        <f t="shared" ref="J72:M72" si="56">J229</f>
        <v>29536</v>
      </c>
      <c r="K72" s="28">
        <f t="shared" si="56"/>
        <v>27262</v>
      </c>
      <c r="L72" s="28">
        <f t="shared" si="56"/>
        <v>25908</v>
      </c>
      <c r="M72" s="28">
        <f t="shared" si="56"/>
        <v>25908</v>
      </c>
    </row>
    <row r="73" spans="3:13" x14ac:dyDescent="0.25">
      <c r="C73" t="s">
        <v>141</v>
      </c>
      <c r="D73" s="32">
        <v>1225</v>
      </c>
      <c r="E73" s="32">
        <v>11014</v>
      </c>
      <c r="F73" s="32">
        <v>8736</v>
      </c>
      <c r="G73" s="32">
        <v>6985</v>
      </c>
      <c r="H73" s="32">
        <v>6383</v>
      </c>
      <c r="I73" s="28">
        <f>H73</f>
        <v>6383</v>
      </c>
      <c r="J73" s="28">
        <f t="shared" ref="J73:M73" si="57">I73</f>
        <v>6383</v>
      </c>
      <c r="K73" s="28">
        <f t="shared" si="57"/>
        <v>6383</v>
      </c>
      <c r="L73" s="28">
        <f t="shared" si="57"/>
        <v>6383</v>
      </c>
      <c r="M73" s="28">
        <f t="shared" si="57"/>
        <v>6383</v>
      </c>
    </row>
    <row r="74" spans="3:13" x14ac:dyDescent="0.25">
      <c r="C74" s="1" t="s">
        <v>186</v>
      </c>
      <c r="D74" s="33">
        <v>1927</v>
      </c>
      <c r="E74" s="33">
        <v>10669</v>
      </c>
      <c r="F74" s="33">
        <v>10328</v>
      </c>
      <c r="G74" s="33">
        <v>10070</v>
      </c>
      <c r="H74" s="33">
        <v>11608</v>
      </c>
      <c r="I74" s="29">
        <f>H74*(1+I44)</f>
        <v>11650.3753003003</v>
      </c>
      <c r="J74" s="29">
        <f>I74*(1+J44)</f>
        <v>11866.173423423421</v>
      </c>
      <c r="K74" s="29">
        <f>J74*(1+K44)</f>
        <v>12058.48539039039</v>
      </c>
      <c r="L74" s="29">
        <f>K74*(1+L44)</f>
        <v>12083.876334191333</v>
      </c>
      <c r="M74" s="29">
        <f>L74*(1+M44)</f>
        <v>12243.184431574429</v>
      </c>
    </row>
    <row r="75" spans="3:13" ht="15.75" thickBot="1" x14ac:dyDescent="0.3">
      <c r="C75" s="36" t="s">
        <v>142</v>
      </c>
      <c r="D75" s="78">
        <f>SUM(D68:D74)</f>
        <v>21031</v>
      </c>
      <c r="E75" s="78">
        <f>SUM(E68:E74)</f>
        <v>85334</v>
      </c>
      <c r="F75" s="78">
        <f t="shared" ref="F75:M75" si="58">SUM(F68:F74)</f>
        <v>76285</v>
      </c>
      <c r="G75" s="78">
        <f t="shared" si="58"/>
        <v>69622</v>
      </c>
      <c r="H75" s="78">
        <f t="shared" si="58"/>
        <v>62919</v>
      </c>
      <c r="I75" s="78">
        <f t="shared" si="58"/>
        <v>63271.335487098775</v>
      </c>
      <c r="J75" s="78">
        <f t="shared" si="58"/>
        <v>61967.465549184621</v>
      </c>
      <c r="K75" s="78">
        <f t="shared" si="58"/>
        <v>61315.714172202308</v>
      </c>
      <c r="L75" s="78">
        <f t="shared" si="58"/>
        <v>59194.8232271257</v>
      </c>
      <c r="M75" s="78">
        <f t="shared" si="58"/>
        <v>58258.41677188137</v>
      </c>
    </row>
    <row r="76" spans="3:13" ht="15.75" thickTop="1" x14ac:dyDescent="0.25">
      <c r="C76" s="2"/>
      <c r="D76" s="28"/>
      <c r="E76" s="28"/>
      <c r="F76" s="28"/>
      <c r="G76" s="28"/>
      <c r="H76" s="28"/>
      <c r="I76" s="28"/>
      <c r="J76" s="28"/>
      <c r="K76" s="28"/>
      <c r="L76" s="28"/>
      <c r="M76" s="28"/>
    </row>
    <row r="77" spans="3:13" x14ac:dyDescent="0.25">
      <c r="C77" t="s">
        <v>151</v>
      </c>
      <c r="D77" s="32">
        <v>363</v>
      </c>
      <c r="E77" s="32">
        <v>318</v>
      </c>
      <c r="F77" s="32">
        <v>165</v>
      </c>
      <c r="G77" s="32">
        <v>109</v>
      </c>
      <c r="H77" s="32">
        <v>19</v>
      </c>
      <c r="I77" s="28">
        <f>H77</f>
        <v>19</v>
      </c>
      <c r="J77" s="28">
        <f t="shared" ref="J77:M77" si="59">I77</f>
        <v>19</v>
      </c>
      <c r="K77" s="28">
        <f t="shared" si="59"/>
        <v>19</v>
      </c>
      <c r="L77" s="28">
        <f t="shared" si="59"/>
        <v>19</v>
      </c>
      <c r="M77" s="28">
        <f t="shared" si="59"/>
        <v>19</v>
      </c>
    </row>
    <row r="78" spans="3:13" x14ac:dyDescent="0.25">
      <c r="D78" s="28"/>
      <c r="E78" s="28"/>
      <c r="F78" s="28"/>
      <c r="G78" s="28"/>
      <c r="H78" s="28"/>
      <c r="I78" s="28"/>
      <c r="J78" s="28"/>
      <c r="K78" s="28"/>
      <c r="L78" s="28"/>
      <c r="M78" s="28"/>
    </row>
    <row r="79" spans="3:13" x14ac:dyDescent="0.25">
      <c r="C79" t="s">
        <v>143</v>
      </c>
      <c r="D79" s="32">
        <v>11093</v>
      </c>
      <c r="E79" s="32">
        <v>54657</v>
      </c>
      <c r="F79" s="32">
        <v>55139</v>
      </c>
      <c r="G79" s="32">
        <v>55587</v>
      </c>
      <c r="H79" s="32">
        <v>56082</v>
      </c>
      <c r="I79" s="28">
        <f>H79+I40</f>
        <v>56853.807254129126</v>
      </c>
      <c r="J79" s="28">
        <f>I79+J40</f>
        <v>57639.910576201197</v>
      </c>
      <c r="K79" s="28">
        <f>J79+K40</f>
        <v>58438.754069069066</v>
      </c>
      <c r="L79" s="28">
        <f>K79+L40</f>
        <v>59239.279646342766</v>
      </c>
      <c r="M79" s="28">
        <f>L79+M40</f>
        <v>60050.358973348346</v>
      </c>
    </row>
    <row r="80" spans="3:13" x14ac:dyDescent="0.25">
      <c r="C80" t="s">
        <v>144</v>
      </c>
      <c r="D80" s="32">
        <v>-8244</v>
      </c>
      <c r="E80" s="32">
        <v>-8244</v>
      </c>
      <c r="F80" s="32">
        <v>-8244</v>
      </c>
      <c r="G80" s="32">
        <v>-8244</v>
      </c>
      <c r="H80" s="32">
        <v>-8244</v>
      </c>
      <c r="I80" s="28">
        <f>H80</f>
        <v>-8244</v>
      </c>
      <c r="J80" s="28">
        <f t="shared" ref="J80:M80" si="60">I80</f>
        <v>-8244</v>
      </c>
      <c r="K80" s="28">
        <f t="shared" si="60"/>
        <v>-8244</v>
      </c>
      <c r="L80" s="28">
        <f t="shared" si="60"/>
        <v>-8244</v>
      </c>
      <c r="M80" s="28">
        <f t="shared" si="60"/>
        <v>-8244</v>
      </c>
    </row>
    <row r="81" spans="2:13" x14ac:dyDescent="0.25">
      <c r="C81" t="s">
        <v>145</v>
      </c>
      <c r="D81" s="32">
        <v>9580</v>
      </c>
      <c r="E81" s="32">
        <v>2205</v>
      </c>
      <c r="F81" s="32">
        <v>-928</v>
      </c>
      <c r="G81" s="32">
        <v>-12239</v>
      </c>
      <c r="H81" s="32">
        <v>-11512</v>
      </c>
      <c r="I81" s="28">
        <f ca="1">I243</f>
        <v>-11989.395663902185</v>
      </c>
      <c r="J81" s="28">
        <f t="shared" ref="J81:M81" ca="1" si="61">J243</f>
        <v>-11049.453826734691</v>
      </c>
      <c r="K81" s="28">
        <f t="shared" ca="1" si="61"/>
        <v>-9772.3417283163144</v>
      </c>
      <c r="L81" s="28">
        <f t="shared" ca="1" si="61"/>
        <v>-8167.0711282966331</v>
      </c>
      <c r="M81" s="28">
        <f t="shared" ca="1" si="61"/>
        <v>-6391.3421240271073</v>
      </c>
    </row>
    <row r="82" spans="2:13" x14ac:dyDescent="0.25">
      <c r="C82" s="1" t="s">
        <v>146</v>
      </c>
      <c r="D82" s="33">
        <v>-830</v>
      </c>
      <c r="E82" s="33">
        <v>-1523</v>
      </c>
      <c r="F82" s="33">
        <v>-741</v>
      </c>
      <c r="G82" s="33">
        <v>-1067</v>
      </c>
      <c r="H82" s="33">
        <v>-407</v>
      </c>
      <c r="I82" s="29">
        <f>H82</f>
        <v>-407</v>
      </c>
      <c r="J82" s="29">
        <f t="shared" ref="J82:M82" si="62">I82</f>
        <v>-407</v>
      </c>
      <c r="K82" s="29">
        <f t="shared" si="62"/>
        <v>-407</v>
      </c>
      <c r="L82" s="29">
        <f t="shared" si="62"/>
        <v>-407</v>
      </c>
      <c r="M82" s="29">
        <f t="shared" si="62"/>
        <v>-407</v>
      </c>
    </row>
    <row r="83" spans="2:13" x14ac:dyDescent="0.25">
      <c r="C83" t="s">
        <v>147</v>
      </c>
      <c r="D83" s="28">
        <f>SUM(D79:D82)</f>
        <v>11599</v>
      </c>
      <c r="E83" s="28">
        <f>SUM(E79:E82)</f>
        <v>47095</v>
      </c>
      <c r="F83" s="28">
        <f>SUM(F79:F82)</f>
        <v>45226</v>
      </c>
      <c r="G83" s="28">
        <f>SUM(G79:G82)</f>
        <v>34037</v>
      </c>
      <c r="H83" s="28">
        <f>SUM(H79:H82)</f>
        <v>35919</v>
      </c>
      <c r="I83" s="28">
        <f t="shared" ref="I83:M83" ca="1" si="63">SUM(I79:I82)</f>
        <v>36213.41159022694</v>
      </c>
      <c r="J83" s="28">
        <f t="shared" ca="1" si="63"/>
        <v>37939.45674946651</v>
      </c>
      <c r="K83" s="28">
        <f t="shared" ca="1" si="63"/>
        <v>40015.412340752751</v>
      </c>
      <c r="L83" s="28">
        <f t="shared" ca="1" si="63"/>
        <v>42421.208518046129</v>
      </c>
      <c r="M83" s="28">
        <f t="shared" ca="1" si="63"/>
        <v>45008.01684932124</v>
      </c>
    </row>
    <row r="84" spans="2:13" x14ac:dyDescent="0.25">
      <c r="C84" s="1" t="s">
        <v>148</v>
      </c>
      <c r="D84" s="33">
        <v>1434</v>
      </c>
      <c r="E84" s="33">
        <v>1254</v>
      </c>
      <c r="F84" s="33">
        <v>1081</v>
      </c>
      <c r="G84" s="33">
        <v>792</v>
      </c>
      <c r="H84" s="33">
        <v>1228</v>
      </c>
      <c r="I84" s="29">
        <f>H84</f>
        <v>1228</v>
      </c>
      <c r="J84" s="29">
        <f t="shared" ref="J84:M84" si="64">I84</f>
        <v>1228</v>
      </c>
      <c r="K84" s="29">
        <f t="shared" si="64"/>
        <v>1228</v>
      </c>
      <c r="L84" s="29">
        <f t="shared" si="64"/>
        <v>1228</v>
      </c>
      <c r="M84" s="29">
        <f t="shared" si="64"/>
        <v>1228</v>
      </c>
    </row>
    <row r="85" spans="2:13" ht="15.75" thickBot="1" x14ac:dyDescent="0.3">
      <c r="C85" s="36" t="s">
        <v>149</v>
      </c>
      <c r="D85" s="78">
        <f>SUM(D83:D84)</f>
        <v>13033</v>
      </c>
      <c r="E85" s="78">
        <f>SUM(E83:E84)</f>
        <v>48349</v>
      </c>
      <c r="F85" s="78">
        <f t="shared" ref="F85:M85" si="65">SUM(F83:F84)</f>
        <v>46307</v>
      </c>
      <c r="G85" s="78">
        <f t="shared" si="65"/>
        <v>34829</v>
      </c>
      <c r="H85" s="78">
        <f t="shared" si="65"/>
        <v>37147</v>
      </c>
      <c r="I85" s="78">
        <f t="shared" ca="1" si="65"/>
        <v>37441.41159022694</v>
      </c>
      <c r="J85" s="78">
        <f t="shared" ca="1" si="65"/>
        <v>39167.45674946651</v>
      </c>
      <c r="K85" s="78">
        <f t="shared" ca="1" si="65"/>
        <v>41243.412340752751</v>
      </c>
      <c r="L85" s="78">
        <f t="shared" ca="1" si="65"/>
        <v>43649.208518046129</v>
      </c>
      <c r="M85" s="78">
        <f t="shared" ca="1" si="65"/>
        <v>46236.01684932124</v>
      </c>
    </row>
    <row r="86" spans="2:13" ht="15.75" thickTop="1" x14ac:dyDescent="0.25">
      <c r="C86" s="2"/>
      <c r="D86" s="28"/>
      <c r="E86" s="28"/>
      <c r="F86" s="28"/>
      <c r="G86" s="28"/>
      <c r="H86" s="28"/>
      <c r="I86" s="28"/>
      <c r="J86" s="28"/>
      <c r="K86" s="28"/>
      <c r="L86" s="28"/>
      <c r="M86" s="28"/>
    </row>
    <row r="87" spans="2:13" x14ac:dyDescent="0.25">
      <c r="C87" s="37" t="s">
        <v>152</v>
      </c>
      <c r="D87" s="39">
        <f>D66-D75-D77-D85</f>
        <v>0</v>
      </c>
      <c r="E87" s="39">
        <f>E66-E75-E77-E85</f>
        <v>0</v>
      </c>
      <c r="F87" s="39">
        <f>F66-F75-F77-F85</f>
        <v>0</v>
      </c>
      <c r="G87" s="39">
        <f>G66-G75-G77-G85</f>
        <v>0</v>
      </c>
      <c r="H87" s="39">
        <f>H66-H75-H77-H85</f>
        <v>0</v>
      </c>
      <c r="I87" s="39">
        <f ca="1">I66-I75-I77-I85</f>
        <v>0</v>
      </c>
      <c r="J87" s="39">
        <f ca="1">J66-J75-J77-J85</f>
        <v>0</v>
      </c>
      <c r="K87" s="39">
        <f ca="1">K66-K75-K77-K85</f>
        <v>0</v>
      </c>
      <c r="L87" s="39">
        <f ca="1">L66-L75-L77-L85</f>
        <v>0</v>
      </c>
      <c r="M87" s="39">
        <f ca="1">M66-M75-M77-M85</f>
        <v>0</v>
      </c>
    </row>
    <row r="90" spans="2:13" x14ac:dyDescent="0.25">
      <c r="B90" t="s">
        <v>129</v>
      </c>
      <c r="C90" s="14" t="s">
        <v>150</v>
      </c>
      <c r="D90" s="16"/>
      <c r="E90" s="16"/>
      <c r="F90" s="16"/>
      <c r="G90" s="16"/>
      <c r="H90" s="16"/>
      <c r="I90" s="16"/>
      <c r="J90" s="16"/>
      <c r="K90" s="16"/>
      <c r="L90" s="16"/>
      <c r="M90" s="15"/>
    </row>
    <row r="91" spans="2:13" x14ac:dyDescent="0.25">
      <c r="C91" s="40" t="s">
        <v>103</v>
      </c>
      <c r="D91" s="41">
        <v>2021</v>
      </c>
      <c r="E91" s="41">
        <v>2022</v>
      </c>
      <c r="F91" s="41">
        <v>2023</v>
      </c>
      <c r="G91" s="41">
        <v>2024</v>
      </c>
      <c r="H91" s="41">
        <v>2025</v>
      </c>
      <c r="I91" s="42">
        <v>2026</v>
      </c>
      <c r="J91" s="42">
        <v>2027</v>
      </c>
      <c r="K91" s="42">
        <v>2028</v>
      </c>
      <c r="L91" s="42">
        <v>2029</v>
      </c>
      <c r="M91" s="42">
        <v>2030</v>
      </c>
    </row>
    <row r="92" spans="2:13" x14ac:dyDescent="0.25">
      <c r="C92" s="18" t="s">
        <v>104</v>
      </c>
      <c r="D92" s="43">
        <v>44561</v>
      </c>
      <c r="E92" s="43">
        <f>EOMONTH(D92,12)</f>
        <v>44926</v>
      </c>
      <c r="F92" s="43">
        <f t="shared" ref="F92:M92" si="66">EOMONTH(E92,12)</f>
        <v>45291</v>
      </c>
      <c r="G92" s="43">
        <f t="shared" si="66"/>
        <v>45657</v>
      </c>
      <c r="H92" s="43">
        <f t="shared" si="66"/>
        <v>46022</v>
      </c>
      <c r="I92" s="43">
        <f t="shared" si="66"/>
        <v>46387</v>
      </c>
      <c r="J92" s="43">
        <f t="shared" si="66"/>
        <v>46752</v>
      </c>
      <c r="K92" s="43">
        <f t="shared" si="66"/>
        <v>47118</v>
      </c>
      <c r="L92" s="43">
        <f t="shared" si="66"/>
        <v>47483</v>
      </c>
      <c r="M92" s="43">
        <f t="shared" si="66"/>
        <v>47848</v>
      </c>
    </row>
    <row r="94" spans="2:13" x14ac:dyDescent="0.25">
      <c r="C94" t="s">
        <v>79</v>
      </c>
      <c r="I94" s="28">
        <f ca="1">I31</f>
        <v>-477.39566390218528</v>
      </c>
      <c r="J94" s="28">
        <f ca="1">J31</f>
        <v>939.9418371674941</v>
      </c>
      <c r="K94" s="28">
        <f ca="1">K31</f>
        <v>1277.1120984183758</v>
      </c>
      <c r="L94" s="28">
        <f ca="1">L31</f>
        <v>1605.2706000196808</v>
      </c>
      <c r="M94" s="28">
        <f ca="1">M31</f>
        <v>1775.7290042695256</v>
      </c>
    </row>
    <row r="95" spans="2:13" x14ac:dyDescent="0.25">
      <c r="C95" t="s">
        <v>110</v>
      </c>
      <c r="I95" s="28">
        <f>-I17</f>
        <v>5102.8902414132881</v>
      </c>
      <c r="J95" s="28">
        <f>-J17</f>
        <v>4150.5525091497748</v>
      </c>
      <c r="K95" s="28">
        <f>-K17</f>
        <v>3474.3439245495492</v>
      </c>
      <c r="L95" s="28">
        <f>-L17</f>
        <v>3246.3360540339445</v>
      </c>
      <c r="M95" s="28">
        <f>-M17</f>
        <v>3104.7617159346846</v>
      </c>
    </row>
    <row r="96" spans="2:13" x14ac:dyDescent="0.25">
      <c r="C96" t="s">
        <v>258</v>
      </c>
      <c r="I96" s="28">
        <f>I40</f>
        <v>771.80725412912909</v>
      </c>
      <c r="J96" s="28">
        <f>J40</f>
        <v>786.10332207207193</v>
      </c>
      <c r="K96" s="28">
        <f>K40</f>
        <v>798.84349286786778</v>
      </c>
      <c r="L96" s="28">
        <f>L40</f>
        <v>800.5255772737022</v>
      </c>
      <c r="M96" s="28">
        <f>M40</f>
        <v>811.07932700557683</v>
      </c>
    </row>
    <row r="97" spans="3:13" x14ac:dyDescent="0.25">
      <c r="C97" t="s">
        <v>187</v>
      </c>
      <c r="I97" s="28">
        <f>H60-I60</f>
        <v>-19.325882132131483</v>
      </c>
      <c r="J97" s="28">
        <f t="shared" ref="J97:M97" si="67">I60-J60</f>
        <v>-98.417924174173095</v>
      </c>
      <c r="K97" s="28">
        <f t="shared" si="67"/>
        <v>-87.706715465466004</v>
      </c>
      <c r="L97" s="28">
        <f t="shared" si="67"/>
        <v>-11.579915272414837</v>
      </c>
      <c r="M97" s="28">
        <f t="shared" si="67"/>
        <v>-72.654812848562869</v>
      </c>
    </row>
    <row r="98" spans="3:13" x14ac:dyDescent="0.25">
      <c r="C98" t="s">
        <v>188</v>
      </c>
      <c r="I98" s="28">
        <f>H61-I61</f>
        <v>-12.214658408408013</v>
      </c>
      <c r="J98" s="28">
        <f t="shared" ref="J98:M98" si="68">I61-J61</f>
        <v>-62.203697447446757</v>
      </c>
      <c r="K98" s="28">
        <f t="shared" si="68"/>
        <v>-55.43382507507522</v>
      </c>
      <c r="L98" s="28">
        <f t="shared" si="68"/>
        <v>-7.3189264264260601</v>
      </c>
      <c r="M98" s="28">
        <f t="shared" si="68"/>
        <v>-45.92047672672652</v>
      </c>
    </row>
    <row r="99" spans="3:13" x14ac:dyDescent="0.25">
      <c r="C99" t="s">
        <v>189</v>
      </c>
      <c r="I99" s="28">
        <f>I68-H68</f>
        <v>45.168566480727804</v>
      </c>
      <c r="J99" s="28">
        <f t="shared" ref="J99:M99" si="69">J68-I68</f>
        <v>-6.851628941824174</v>
      </c>
      <c r="K99" s="28">
        <f t="shared" si="69"/>
        <v>54.831843066794363</v>
      </c>
      <c r="L99" s="28">
        <f t="shared" si="69"/>
        <v>12.65698448407943</v>
      </c>
      <c r="M99" s="28">
        <f t="shared" si="69"/>
        <v>24.039132704811664</v>
      </c>
    </row>
    <row r="100" spans="3:13" x14ac:dyDescent="0.25">
      <c r="C100" t="s">
        <v>190</v>
      </c>
      <c r="I100" s="28">
        <f>I69-H69</f>
        <v>397.79745740483668</v>
      </c>
      <c r="J100" s="28">
        <f t="shared" ref="J100:M100" si="70">J69-I69</f>
        <v>-60.341976389752745</v>
      </c>
      <c r="K100" s="28">
        <f t="shared" si="70"/>
        <v>482.90148340435735</v>
      </c>
      <c r="L100" s="28">
        <f t="shared" si="70"/>
        <v>111.46947176921276</v>
      </c>
      <c r="M100" s="28">
        <f t="shared" si="70"/>
        <v>211.71152005170916</v>
      </c>
    </row>
    <row r="101" spans="3:13" x14ac:dyDescent="0.25">
      <c r="C101" t="s">
        <v>191</v>
      </c>
      <c r="I101" s="28">
        <f>I70-H70</f>
        <v>5.9941629129127705</v>
      </c>
      <c r="J101" s="28">
        <f t="shared" ref="J101:M101" si="71">J70-I70</f>
        <v>30.52554429429415</v>
      </c>
      <c r="K101" s="28">
        <f t="shared" si="71"/>
        <v>27.203329579579759</v>
      </c>
      <c r="L101" s="28">
        <f t="shared" si="71"/>
        <v>3.5916548691548087</v>
      </c>
      <c r="M101" s="28">
        <f t="shared" si="71"/>
        <v>22.534794616044564</v>
      </c>
    </row>
    <row r="102" spans="3:13" x14ac:dyDescent="0.25">
      <c r="C102" t="s">
        <v>192</v>
      </c>
      <c r="I102" s="28">
        <f>H65-I65</f>
        <v>-26.951829954954519</v>
      </c>
      <c r="J102" s="28">
        <f t="shared" ref="J102:M102" si="72">I65-J65</f>
        <v>-137.25340653153035</v>
      </c>
      <c r="K102" s="28">
        <f t="shared" si="72"/>
        <v>-122.31557995495587</v>
      </c>
      <c r="L102" s="28">
        <f t="shared" si="72"/>
        <v>-16.149322715572453</v>
      </c>
      <c r="M102" s="28">
        <f t="shared" si="72"/>
        <v>-101.32423182110597</v>
      </c>
    </row>
    <row r="103" spans="3:13" x14ac:dyDescent="0.25">
      <c r="C103" s="1" t="s">
        <v>193</v>
      </c>
      <c r="D103" s="1"/>
      <c r="E103" s="1"/>
      <c r="F103" s="1"/>
      <c r="G103" s="1"/>
      <c r="H103" s="1"/>
      <c r="I103" s="29">
        <f>I74-H74</f>
        <v>42.375300300300296</v>
      </c>
      <c r="J103" s="29">
        <f t="shared" ref="J103:M103" si="73">J74-I74</f>
        <v>215.7981231231206</v>
      </c>
      <c r="K103" s="29">
        <f t="shared" si="73"/>
        <v>192.31196696696861</v>
      </c>
      <c r="L103" s="29">
        <f t="shared" si="73"/>
        <v>25.390943800943205</v>
      </c>
      <c r="M103" s="29">
        <f t="shared" si="73"/>
        <v>159.30809738309654</v>
      </c>
    </row>
    <row r="104" spans="3:13" x14ac:dyDescent="0.25">
      <c r="C104" s="58" t="s">
        <v>194</v>
      </c>
      <c r="I104" s="60">
        <f ca="1">SUM(I94:I103)</f>
        <v>5830.1449482435155</v>
      </c>
      <c r="J104" s="60">
        <f t="shared" ref="J104:M104" ca="1" si="74">SUM(J94:J103)</f>
        <v>5757.8527023220286</v>
      </c>
      <c r="K104" s="60">
        <f t="shared" ca="1" si="74"/>
        <v>6042.0920183579956</v>
      </c>
      <c r="L104" s="60">
        <f t="shared" ca="1" si="74"/>
        <v>5770.1931218363034</v>
      </c>
      <c r="M104" s="60">
        <f t="shared" ca="1" si="74"/>
        <v>5889.2640705690537</v>
      </c>
    </row>
    <row r="106" spans="3:13" x14ac:dyDescent="0.25">
      <c r="C106" t="s">
        <v>195</v>
      </c>
      <c r="I106" s="28">
        <f>-I179</f>
        <v>-1683.1219313063061</v>
      </c>
      <c r="J106" s="28">
        <f t="shared" ref="J106:M106" si="75">-J179</f>
        <v>-1714.2981418918914</v>
      </c>
      <c r="K106" s="28">
        <f t="shared" si="75"/>
        <v>-1742.0813231981979</v>
      </c>
      <c r="L106" s="28">
        <f t="shared" si="75"/>
        <v>-1745.7495358751605</v>
      </c>
      <c r="M106" s="28">
        <f t="shared" si="75"/>
        <v>-1768.7646702059196</v>
      </c>
    </row>
    <row r="107" spans="3:13" x14ac:dyDescent="0.25">
      <c r="C107" s="1" t="s">
        <v>196</v>
      </c>
      <c r="D107" s="1"/>
      <c r="E107" s="1"/>
      <c r="F107" s="1"/>
      <c r="G107" s="1"/>
      <c r="H107" s="1"/>
      <c r="I107" s="29">
        <f>-I205</f>
        <v>-3597.1293355855814</v>
      </c>
      <c r="J107" s="29">
        <f t="shared" ref="J107:M107" si="76">-J205</f>
        <v>-3497.4838400900844</v>
      </c>
      <c r="K107" s="29">
        <f t="shared" si="76"/>
        <v>-2783.6368355855884</v>
      </c>
      <c r="L107" s="29">
        <f t="shared" si="76"/>
        <v>-1869.5393404118367</v>
      </c>
      <c r="M107" s="29">
        <f t="shared" si="76"/>
        <v>-2202.353289897037</v>
      </c>
    </row>
    <row r="108" spans="3:13" x14ac:dyDescent="0.25">
      <c r="C108" s="58" t="s">
        <v>197</v>
      </c>
      <c r="I108" s="60">
        <f>SUM(I106:I107)</f>
        <v>-5280.251266891888</v>
      </c>
      <c r="J108" s="60">
        <f>SUM(J106:J107)</f>
        <v>-5211.7819819819761</v>
      </c>
      <c r="K108" s="60">
        <f>SUM(K106:K107)</f>
        <v>-4525.7181587837858</v>
      </c>
      <c r="L108" s="60">
        <f>SUM(L106:L107)</f>
        <v>-3615.288876286997</v>
      </c>
      <c r="M108" s="60">
        <f>SUM(M106:M107)</f>
        <v>-3971.1179601029567</v>
      </c>
    </row>
    <row r="110" spans="3:13" x14ac:dyDescent="0.25">
      <c r="C110" t="s">
        <v>198</v>
      </c>
      <c r="I110" s="28">
        <f>-I220</f>
        <v>-139</v>
      </c>
      <c r="J110" s="28">
        <f t="shared" ref="J110:M110" si="77">-J220</f>
        <v>-16483</v>
      </c>
      <c r="K110" s="28">
        <f t="shared" si="77"/>
        <v>-1409</v>
      </c>
      <c r="L110" s="28">
        <f t="shared" si="77"/>
        <v>-2274</v>
      </c>
      <c r="M110" s="28">
        <f t="shared" si="77"/>
        <v>-1354</v>
      </c>
    </row>
    <row r="111" spans="3:13" x14ac:dyDescent="0.25">
      <c r="C111" s="1" t="s">
        <v>199</v>
      </c>
      <c r="D111" s="1"/>
      <c r="E111" s="1"/>
      <c r="F111" s="1"/>
      <c r="G111" s="1"/>
      <c r="H111" s="1"/>
      <c r="I111" s="29">
        <f>I228</f>
        <v>0</v>
      </c>
      <c r="J111" s="29">
        <f t="shared" ref="J111:M111" si="78">J228</f>
        <v>15000</v>
      </c>
      <c r="K111" s="29">
        <f t="shared" si="78"/>
        <v>0</v>
      </c>
      <c r="L111" s="29">
        <f t="shared" si="78"/>
        <v>0</v>
      </c>
      <c r="M111" s="29">
        <f t="shared" si="78"/>
        <v>0</v>
      </c>
    </row>
    <row r="112" spans="3:13" x14ac:dyDescent="0.25">
      <c r="C112" s="58" t="s">
        <v>200</v>
      </c>
      <c r="I112" s="28">
        <f>SUM(I110:I111)</f>
        <v>-139</v>
      </c>
      <c r="J112" s="28">
        <f t="shared" ref="J112:M112" si="79">SUM(J110:J111)</f>
        <v>-1483</v>
      </c>
      <c r="K112" s="28">
        <f t="shared" si="79"/>
        <v>-1409</v>
      </c>
      <c r="L112" s="28">
        <f t="shared" si="79"/>
        <v>-2274</v>
      </c>
      <c r="M112" s="28">
        <f t="shared" si="79"/>
        <v>-1354</v>
      </c>
    </row>
    <row r="114" spans="2:13" x14ac:dyDescent="0.25">
      <c r="C114" t="s">
        <v>201</v>
      </c>
      <c r="I114" s="28">
        <f ca="1">I104+I108+I112</f>
        <v>410.89368135162749</v>
      </c>
      <c r="J114" s="28">
        <f t="shared" ref="J114:M114" ca="1" si="80">J104+J108+J112</f>
        <v>-936.9292796599475</v>
      </c>
      <c r="K114" s="28">
        <f t="shared" ca="1" si="80"/>
        <v>107.37385957420975</v>
      </c>
      <c r="L114" s="28">
        <f t="shared" ca="1" si="80"/>
        <v>-119.09575445069368</v>
      </c>
      <c r="M114" s="28">
        <f t="shared" ca="1" si="80"/>
        <v>564.14611046609707</v>
      </c>
    </row>
    <row r="115" spans="2:13" x14ac:dyDescent="0.25">
      <c r="C115" s="1" t="s">
        <v>202</v>
      </c>
      <c r="D115" s="1"/>
      <c r="E115" s="1"/>
      <c r="F115" s="1"/>
      <c r="G115" s="1"/>
      <c r="H115" s="1"/>
      <c r="I115" s="29">
        <f>H59</f>
        <v>4566</v>
      </c>
      <c r="J115" s="29">
        <f t="shared" ref="J115:M115" ca="1" si="81">I59</f>
        <v>4976.8936813516275</v>
      </c>
      <c r="K115" s="29">
        <f t="shared" ca="1" si="81"/>
        <v>4039.96440169168</v>
      </c>
      <c r="L115" s="29">
        <f t="shared" ca="1" si="81"/>
        <v>4147.3382612658897</v>
      </c>
      <c r="M115" s="29">
        <f t="shared" ca="1" si="81"/>
        <v>4028.2425068151961</v>
      </c>
    </row>
    <row r="116" spans="2:13" ht="15.75" thickBot="1" x14ac:dyDescent="0.3">
      <c r="C116" s="36" t="s">
        <v>203</v>
      </c>
      <c r="D116" s="59"/>
      <c r="E116" s="59"/>
      <c r="F116" s="59"/>
      <c r="G116" s="59"/>
      <c r="H116" s="59"/>
      <c r="I116" s="78">
        <f ca="1">SUM(I114:I115)</f>
        <v>4976.8936813516275</v>
      </c>
      <c r="J116" s="78">
        <f t="shared" ref="J116:M116" ca="1" si="82">SUM(J114:J115)</f>
        <v>4039.96440169168</v>
      </c>
      <c r="K116" s="78">
        <f t="shared" ca="1" si="82"/>
        <v>4147.3382612658897</v>
      </c>
      <c r="L116" s="78">
        <f t="shared" ca="1" si="82"/>
        <v>4028.2425068151961</v>
      </c>
      <c r="M116" s="78">
        <f t="shared" ca="1" si="82"/>
        <v>4592.3886172812927</v>
      </c>
    </row>
    <row r="117" spans="2:13" ht="15.75" thickTop="1" x14ac:dyDescent="0.25"/>
    <row r="119" spans="2:13" x14ac:dyDescent="0.25">
      <c r="B119" t="s">
        <v>129</v>
      </c>
      <c r="C119" s="14" t="s">
        <v>214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5"/>
    </row>
    <row r="120" spans="2:13" x14ac:dyDescent="0.25">
      <c r="C120" s="40" t="s">
        <v>103</v>
      </c>
      <c r="D120" s="41">
        <v>2021</v>
      </c>
      <c r="E120" s="41">
        <v>2022</v>
      </c>
      <c r="F120" s="41">
        <v>2023</v>
      </c>
      <c r="G120" s="41">
        <v>2024</v>
      </c>
      <c r="H120" s="41">
        <v>2025</v>
      </c>
      <c r="I120" s="42">
        <v>2026</v>
      </c>
      <c r="J120" s="42">
        <v>2027</v>
      </c>
      <c r="K120" s="42">
        <v>2028</v>
      </c>
      <c r="L120" s="42">
        <v>2029</v>
      </c>
      <c r="M120" s="42">
        <v>2030</v>
      </c>
    </row>
    <row r="121" spans="2:13" x14ac:dyDescent="0.25">
      <c r="C121" s="18" t="s">
        <v>104</v>
      </c>
      <c r="D121" s="43">
        <v>44561</v>
      </c>
      <c r="E121" s="43">
        <f>EOMONTH(D121,12)</f>
        <v>44926</v>
      </c>
      <c r="F121" s="43">
        <f t="shared" ref="F121" si="83">EOMONTH(E121,12)</f>
        <v>45291</v>
      </c>
      <c r="G121" s="43">
        <f t="shared" ref="G121" si="84">EOMONTH(F121,12)</f>
        <v>45657</v>
      </c>
      <c r="H121" s="43">
        <f t="shared" ref="H121" si="85">EOMONTH(G121,12)</f>
        <v>46022</v>
      </c>
      <c r="I121" s="43">
        <f t="shared" ref="I121" si="86">EOMONTH(H121,12)</f>
        <v>46387</v>
      </c>
      <c r="J121" s="43">
        <f t="shared" ref="J121" si="87">EOMONTH(I121,12)</f>
        <v>46752</v>
      </c>
      <c r="K121" s="43">
        <f t="shared" ref="K121" si="88">EOMONTH(J121,12)</f>
        <v>47118</v>
      </c>
      <c r="L121" s="43">
        <f t="shared" ref="L121" si="89">EOMONTH(K121,12)</f>
        <v>47483</v>
      </c>
      <c r="M121" s="43">
        <f t="shared" ref="M121" si="90">EOMONTH(L121,12)</f>
        <v>47848</v>
      </c>
    </row>
    <row r="123" spans="2:13" x14ac:dyDescent="0.25">
      <c r="C123" s="65" t="s">
        <v>216</v>
      </c>
    </row>
    <row r="124" spans="2:13" x14ac:dyDescent="0.25">
      <c r="C124" s="66" t="s">
        <v>205</v>
      </c>
      <c r="E124" s="28">
        <f>D126</f>
        <v>2446</v>
      </c>
      <c r="F124" s="28">
        <f t="shared" ref="F124:H124" si="91">E126</f>
        <v>6380</v>
      </c>
      <c r="G124" s="28">
        <f t="shared" si="91"/>
        <v>6047</v>
      </c>
      <c r="H124" s="28">
        <f t="shared" si="91"/>
        <v>4947</v>
      </c>
      <c r="I124" s="28">
        <f>H126</f>
        <v>5294</v>
      </c>
      <c r="J124" s="28">
        <f t="shared" ref="J124:M124" si="92">I126</f>
        <v>5313.3258821321315</v>
      </c>
      <c r="K124" s="28">
        <f t="shared" si="92"/>
        <v>5411.7438063063046</v>
      </c>
      <c r="L124" s="28">
        <f t="shared" si="92"/>
        <v>5499.4505217717706</v>
      </c>
      <c r="M124" s="28">
        <f t="shared" si="92"/>
        <v>5511.0304370441854</v>
      </c>
    </row>
    <row r="125" spans="2:13" x14ac:dyDescent="0.25">
      <c r="C125" s="67" t="s">
        <v>217</v>
      </c>
      <c r="D125" s="1"/>
      <c r="E125" s="29">
        <f>E126-E124</f>
        <v>3934</v>
      </c>
      <c r="F125" s="29">
        <f t="shared" ref="F125:H125" si="93">F126-F124</f>
        <v>-333</v>
      </c>
      <c r="G125" s="29">
        <f t="shared" si="93"/>
        <v>-1100</v>
      </c>
      <c r="H125" s="29">
        <f t="shared" si="93"/>
        <v>347</v>
      </c>
      <c r="I125" s="29">
        <f t="shared" ref="I125" si="94">I126-I124</f>
        <v>19.325882132131483</v>
      </c>
      <c r="J125" s="29">
        <f t="shared" ref="J125" si="95">J126-J124</f>
        <v>98.417924174173095</v>
      </c>
      <c r="K125" s="29">
        <f t="shared" ref="K125" si="96">K126-K124</f>
        <v>87.706715465466004</v>
      </c>
      <c r="L125" s="29">
        <f t="shared" ref="L125" si="97">L126-L124</f>
        <v>11.579915272414837</v>
      </c>
      <c r="M125" s="29">
        <f t="shared" ref="M125" si="98">M126-M124</f>
        <v>72.654812848562869</v>
      </c>
    </row>
    <row r="126" spans="2:13" x14ac:dyDescent="0.25">
      <c r="C126" s="65" t="s">
        <v>207</v>
      </c>
      <c r="D126" s="60">
        <f>D60</f>
        <v>2446</v>
      </c>
      <c r="E126" s="60">
        <f>E60</f>
        <v>6380</v>
      </c>
      <c r="F126" s="60">
        <f>F60</f>
        <v>6047</v>
      </c>
      <c r="G126" s="60">
        <f>G60</f>
        <v>4947</v>
      </c>
      <c r="H126" s="60">
        <f>H60</f>
        <v>5294</v>
      </c>
      <c r="I126" s="60">
        <f>IF($D$128=1,H126*(1+I130),2*I13*I131/365-I124)</f>
        <v>5313.3258821321315</v>
      </c>
      <c r="J126" s="60">
        <f>IF($D$128=1,I126*(1+J130),2*J13*J131/365-J124)</f>
        <v>5411.7438063063046</v>
      </c>
      <c r="K126" s="60">
        <f>IF($D$128=1,J126*(1+K130),2*K13*K131/365-K124)</f>
        <v>5499.4505217717706</v>
      </c>
      <c r="L126" s="60">
        <f>IF($D$128=1,K126*(1+L130),2*L13*L131/365-L124)</f>
        <v>5511.0304370441854</v>
      </c>
      <c r="M126" s="60">
        <f>IF($D$128=1,L126*(1+M130),2*M13*M131/365-M124)</f>
        <v>5583.6852498927483</v>
      </c>
    </row>
    <row r="127" spans="2:13" x14ac:dyDescent="0.25">
      <c r="C127" s="66"/>
    </row>
    <row r="128" spans="2:13" x14ac:dyDescent="0.25">
      <c r="C128" s="66" t="s">
        <v>218</v>
      </c>
      <c r="D128" s="138">
        <v>1</v>
      </c>
    </row>
    <row r="129" spans="3:13" x14ac:dyDescent="0.25">
      <c r="C129" s="66"/>
    </row>
    <row r="130" spans="3:13" x14ac:dyDescent="0.25">
      <c r="C130" s="66" t="s">
        <v>219</v>
      </c>
      <c r="E130" s="51">
        <f>E44</f>
        <v>1.7739315888770406</v>
      </c>
      <c r="F130" s="51">
        <f>F44</f>
        <v>0.22190022769612927</v>
      </c>
      <c r="G130" s="51">
        <f>G44</f>
        <v>-4.8401539168945518E-2</v>
      </c>
      <c r="H130" s="51">
        <f>H44</f>
        <v>-5.1499198901350463E-2</v>
      </c>
      <c r="I130" s="51">
        <f>I44</f>
        <v>3.650525525525472E-3</v>
      </c>
      <c r="J130" s="51">
        <f>J44</f>
        <v>1.8522847338450887E-2</v>
      </c>
      <c r="K130" s="51">
        <f>K44</f>
        <v>1.6206738272285026E-2</v>
      </c>
      <c r="L130" s="51">
        <f>L44</f>
        <v>2.1056495056317459E-3</v>
      </c>
      <c r="M130" s="51">
        <f>M44</f>
        <v>1.3183525962801701E-2</v>
      </c>
    </row>
    <row r="131" spans="3:13" x14ac:dyDescent="0.25">
      <c r="C131" s="66" t="s">
        <v>220</v>
      </c>
      <c r="E131" s="68">
        <f>(AVERAGE(E60,D60)/E13)*365</f>
        <v>47.631220983528998</v>
      </c>
      <c r="F131" s="68">
        <f>(AVERAGE(F60,E60)/F13)*365</f>
        <v>54.885590861789403</v>
      </c>
      <c r="G131" s="68">
        <f>(AVERAGE(G60,F60)/G13)*365</f>
        <v>51.02629638106864</v>
      </c>
      <c r="H131" s="68">
        <f>(AVERAGE(H60,G60)/H13)*365</f>
        <v>50.112143393393389</v>
      </c>
      <c r="I131" s="68">
        <f>H131</f>
        <v>50.112143393393389</v>
      </c>
      <c r="J131" s="68">
        <f t="shared" ref="J131:M131" si="99">I131</f>
        <v>50.112143393393389</v>
      </c>
      <c r="K131" s="68">
        <f t="shared" si="99"/>
        <v>50.112143393393389</v>
      </c>
      <c r="L131" s="68">
        <f t="shared" si="99"/>
        <v>50.112143393393389</v>
      </c>
      <c r="M131" s="68">
        <f t="shared" si="99"/>
        <v>50.112143393393389</v>
      </c>
    </row>
    <row r="133" spans="3:13" x14ac:dyDescent="0.25">
      <c r="C133" s="65" t="s">
        <v>132</v>
      </c>
    </row>
    <row r="134" spans="3:13" x14ac:dyDescent="0.25">
      <c r="C134" s="66" t="s">
        <v>205</v>
      </c>
      <c r="E134" s="28">
        <f>D136</f>
        <v>913</v>
      </c>
      <c r="F134" s="28">
        <f t="shared" ref="F134:M134" si="100">E136</f>
        <v>3888</v>
      </c>
      <c r="G134" s="28">
        <f t="shared" si="100"/>
        <v>4391</v>
      </c>
      <c r="H134" s="28">
        <f t="shared" si="100"/>
        <v>3819</v>
      </c>
      <c r="I134" s="28">
        <f t="shared" si="100"/>
        <v>3346</v>
      </c>
      <c r="J134" s="28">
        <f t="shared" si="100"/>
        <v>3358.214658408408</v>
      </c>
      <c r="K134" s="28">
        <f t="shared" si="100"/>
        <v>3420.4183558558548</v>
      </c>
      <c r="L134" s="28">
        <f t="shared" si="100"/>
        <v>3475.85218093093</v>
      </c>
      <c r="M134" s="28">
        <f t="shared" si="100"/>
        <v>3483.171107357356</v>
      </c>
    </row>
    <row r="135" spans="3:13" x14ac:dyDescent="0.25">
      <c r="C135" s="67" t="s">
        <v>217</v>
      </c>
      <c r="D135" s="1"/>
      <c r="E135" s="29">
        <f>E136-E134</f>
        <v>2975</v>
      </c>
      <c r="F135" s="29">
        <f t="shared" ref="F135:H135" si="101">F136-F134</f>
        <v>503</v>
      </c>
      <c r="G135" s="29">
        <f t="shared" si="101"/>
        <v>-572</v>
      </c>
      <c r="H135" s="29">
        <f t="shared" si="101"/>
        <v>-473</v>
      </c>
      <c r="I135" s="29">
        <f t="shared" ref="I135" si="102">I136-I134</f>
        <v>12.214658408408013</v>
      </c>
      <c r="J135" s="29">
        <f t="shared" ref="J135" si="103">J136-J134</f>
        <v>62.203697447446757</v>
      </c>
      <c r="K135" s="29">
        <f t="shared" ref="K135" si="104">K136-K134</f>
        <v>55.43382507507522</v>
      </c>
      <c r="L135" s="29">
        <f t="shared" ref="L135" si="105">L136-L134</f>
        <v>7.3189264264260601</v>
      </c>
      <c r="M135" s="29">
        <f t="shared" ref="M135" si="106">M136-M134</f>
        <v>45.92047672672652</v>
      </c>
    </row>
    <row r="136" spans="3:13" x14ac:dyDescent="0.25">
      <c r="C136" s="65" t="s">
        <v>207</v>
      </c>
      <c r="D136" s="60">
        <f>D61</f>
        <v>913</v>
      </c>
      <c r="E136" s="60">
        <f>E61</f>
        <v>3888</v>
      </c>
      <c r="F136" s="60">
        <f>F61</f>
        <v>4391</v>
      </c>
      <c r="G136" s="60">
        <f>G61</f>
        <v>3819</v>
      </c>
      <c r="H136" s="60">
        <f>H61</f>
        <v>3346</v>
      </c>
      <c r="I136" s="60">
        <f>IF($D$138=1,H136*(1+I140),2*I13*I141/365-I134)</f>
        <v>3358.214658408408</v>
      </c>
      <c r="J136" s="60">
        <f>IF($D$138=1,I136*(1+J140),2*J13*J141/365-J134)</f>
        <v>3420.4183558558548</v>
      </c>
      <c r="K136" s="60">
        <f>IF($D$138=1,J136*(1+K140),2*K13*K141/365-K134)</f>
        <v>3475.85218093093</v>
      </c>
      <c r="L136" s="60">
        <f>IF($D$138=1,K136*(1+L140),2*L13*L141/365-L134)</f>
        <v>3483.171107357356</v>
      </c>
      <c r="M136" s="60">
        <f>IF($D$138=1,L136*(1+M140),2*M13*M141/365-M134)</f>
        <v>3529.0915840840826</v>
      </c>
    </row>
    <row r="137" spans="3:13" x14ac:dyDescent="0.25">
      <c r="C137" s="66"/>
    </row>
    <row r="138" spans="3:13" x14ac:dyDescent="0.25">
      <c r="C138" s="66" t="s">
        <v>226</v>
      </c>
      <c r="D138" s="139">
        <v>1</v>
      </c>
    </row>
    <row r="139" spans="3:13" x14ac:dyDescent="0.25">
      <c r="C139" s="66"/>
    </row>
    <row r="140" spans="3:13" x14ac:dyDescent="0.25">
      <c r="C140" s="66" t="s">
        <v>219</v>
      </c>
      <c r="E140" s="51">
        <f>E44</f>
        <v>1.7739315888770406</v>
      </c>
      <c r="F140" s="51">
        <f>F44</f>
        <v>0.22190022769612927</v>
      </c>
      <c r="G140" s="51">
        <f>G44</f>
        <v>-4.8401539168945518E-2</v>
      </c>
      <c r="H140" s="51">
        <f>H44</f>
        <v>-5.1499198901350463E-2</v>
      </c>
      <c r="I140" s="51">
        <f>I44</f>
        <v>3.650525525525472E-3</v>
      </c>
      <c r="J140" s="51">
        <f>J44</f>
        <v>1.8522847338450887E-2</v>
      </c>
      <c r="K140" s="51">
        <f>K44</f>
        <v>1.6206738272285026E-2</v>
      </c>
      <c r="L140" s="51">
        <f>L44</f>
        <v>2.1056495056317459E-3</v>
      </c>
      <c r="M140" s="51">
        <f>M44</f>
        <v>1.3183525962801701E-2</v>
      </c>
    </row>
    <row r="141" spans="3:13" x14ac:dyDescent="0.25">
      <c r="C141" s="66" t="s">
        <v>221</v>
      </c>
      <c r="E141" s="68">
        <f>(AVERAGE(E61,D61)/E13)*365</f>
        <v>25.909527752313924</v>
      </c>
      <c r="F141" s="68">
        <f>(AVERAGE(F61,E61)/F13)*365</f>
        <v>36.565366278647666</v>
      </c>
      <c r="G141" s="68">
        <f>(AVERAGE(G61,F61)/G13)*365</f>
        <v>38.104956638946113</v>
      </c>
      <c r="H141" s="68">
        <f>(AVERAGE(H61,G61)/H13)*365</f>
        <v>35.060395216645219</v>
      </c>
      <c r="I141" s="68">
        <f>H141</f>
        <v>35.060395216645219</v>
      </c>
      <c r="J141" s="68">
        <f t="shared" ref="J141:M141" si="107">I141</f>
        <v>35.060395216645219</v>
      </c>
      <c r="K141" s="68">
        <f t="shared" si="107"/>
        <v>35.060395216645219</v>
      </c>
      <c r="L141" s="68">
        <f t="shared" si="107"/>
        <v>35.060395216645219</v>
      </c>
      <c r="M141" s="68">
        <f t="shared" si="107"/>
        <v>35.060395216645219</v>
      </c>
    </row>
    <row r="143" spans="3:13" x14ac:dyDescent="0.25">
      <c r="C143" s="65" t="s">
        <v>137</v>
      </c>
    </row>
    <row r="144" spans="3:13" x14ac:dyDescent="0.25">
      <c r="C144" s="66" t="s">
        <v>205</v>
      </c>
      <c r="E144" s="28">
        <f>D146</f>
        <v>412</v>
      </c>
      <c r="F144" s="28">
        <f t="shared" ref="F144:H144" si="108">E146</f>
        <v>1454</v>
      </c>
      <c r="G144" s="28">
        <f t="shared" si="108"/>
        <v>1260</v>
      </c>
      <c r="H144" s="28">
        <f t="shared" si="108"/>
        <v>1055</v>
      </c>
      <c r="I144" s="28">
        <f t="shared" ref="I144:M144" si="109">H146</f>
        <v>1093</v>
      </c>
      <c r="J144" s="28">
        <f t="shared" si="109"/>
        <v>1138.1685664807278</v>
      </c>
      <c r="K144" s="28">
        <f t="shared" si="109"/>
        <v>1131.3169375389036</v>
      </c>
      <c r="L144" s="28">
        <f t="shared" si="109"/>
        <v>1186.148780605698</v>
      </c>
      <c r="M144" s="28">
        <f t="shared" si="109"/>
        <v>1198.8057650897774</v>
      </c>
    </row>
    <row r="145" spans="3:13" x14ac:dyDescent="0.25">
      <c r="C145" s="67" t="s">
        <v>217</v>
      </c>
      <c r="D145" s="1"/>
      <c r="E145" s="29">
        <f>E146-E144</f>
        <v>1042</v>
      </c>
      <c r="F145" s="29">
        <f t="shared" ref="F145:H145" si="110">F146-F144</f>
        <v>-194</v>
      </c>
      <c r="G145" s="29">
        <f t="shared" si="110"/>
        <v>-205</v>
      </c>
      <c r="H145" s="29">
        <f t="shared" si="110"/>
        <v>38</v>
      </c>
      <c r="I145" s="29">
        <f t="shared" ref="I145" si="111">I146-I144</f>
        <v>45.168566480727804</v>
      </c>
      <c r="J145" s="29">
        <f t="shared" ref="J145" si="112">J146-J144</f>
        <v>-6.851628941824174</v>
      </c>
      <c r="K145" s="29">
        <f t="shared" ref="K145" si="113">K146-K144</f>
        <v>54.831843066794363</v>
      </c>
      <c r="L145" s="29">
        <f t="shared" ref="L145" si="114">L146-L144</f>
        <v>12.65698448407943</v>
      </c>
      <c r="M145" s="29">
        <f t="shared" ref="M145" si="115">M146-M144</f>
        <v>24.039132704811664</v>
      </c>
    </row>
    <row r="146" spans="3:13" x14ac:dyDescent="0.25">
      <c r="C146" s="65" t="s">
        <v>207</v>
      </c>
      <c r="D146" s="60">
        <f>D68</f>
        <v>412</v>
      </c>
      <c r="E146" s="60">
        <f>E68</f>
        <v>1454</v>
      </c>
      <c r="F146" s="60">
        <f>F68</f>
        <v>1260</v>
      </c>
      <c r="G146" s="60">
        <f>G68</f>
        <v>1055</v>
      </c>
      <c r="H146" s="60">
        <f>H68</f>
        <v>1093</v>
      </c>
      <c r="I146" s="60">
        <f>IF($D$148=1,H146*(1+I150),2*-I14*I151/365-I144)</f>
        <v>1138.1685664807278</v>
      </c>
      <c r="J146" s="60">
        <f>IF($D$148=1,I146*(1+J150),2*-J14*J151/365-J144)</f>
        <v>1131.3169375389036</v>
      </c>
      <c r="K146" s="60">
        <f>IF($D$148=1,J146*(1+K150),2*-K14*K151/365-K144)</f>
        <v>1186.148780605698</v>
      </c>
      <c r="L146" s="60">
        <f>IF($D$148=1,K146*(1+L150),2*-L14*L151/365-L144)</f>
        <v>1198.8057650897774</v>
      </c>
      <c r="M146" s="60">
        <f>IF($D$148=1,L146*(1+M150),2*-M14*M151/365-M144)</f>
        <v>1222.8448977945891</v>
      </c>
    </row>
    <row r="147" spans="3:13" x14ac:dyDescent="0.25">
      <c r="C147" s="66"/>
    </row>
    <row r="148" spans="3:13" x14ac:dyDescent="0.25">
      <c r="C148" s="66" t="s">
        <v>225</v>
      </c>
      <c r="D148" s="139">
        <v>1</v>
      </c>
    </row>
    <row r="149" spans="3:13" x14ac:dyDescent="0.25">
      <c r="C149" s="66"/>
    </row>
    <row r="150" spans="3:13" x14ac:dyDescent="0.25">
      <c r="C150" s="66" t="s">
        <v>227</v>
      </c>
      <c r="E150" s="51">
        <f>E14/D14-1</f>
        <v>3.4246753246753245</v>
      </c>
      <c r="F150" s="51">
        <f>F14/E14-1</f>
        <v>0.19978475687310437</v>
      </c>
      <c r="G150" s="51">
        <f>G14/F14-1</f>
        <v>-6.3442876946913529E-2</v>
      </c>
      <c r="H150" s="51">
        <f>H14/G14-1</f>
        <v>-9.0770570309098852E-2</v>
      </c>
      <c r="I150" s="51">
        <f>I14/H14-1</f>
        <v>4.1325312425185556E-2</v>
      </c>
      <c r="J150" s="51">
        <f>J14/I14-1</f>
        <v>-6.0198718745236857E-3</v>
      </c>
      <c r="K150" s="51">
        <f>K14/J14-1</f>
        <v>4.8467269646008226E-2</v>
      </c>
      <c r="L150" s="51">
        <f>L14/K14-1</f>
        <v>1.0670655056961964E-2</v>
      </c>
      <c r="M150" s="51">
        <f>M14/L14-1</f>
        <v>2.0052566816786577E-2</v>
      </c>
    </row>
    <row r="151" spans="3:13" x14ac:dyDescent="0.25">
      <c r="C151" s="66" t="s">
        <v>222</v>
      </c>
      <c r="E151" s="68">
        <f>(AVERAGE(E68,D68)/-E14)*365</f>
        <v>16.659084238332845</v>
      </c>
      <c r="F151" s="68">
        <f>(AVERAGE(F68,E68)/-F14)*365</f>
        <v>20.195099078528909</v>
      </c>
      <c r="G151" s="68">
        <f>(AVERAGE(G68,F68)/-G14)*365</f>
        <v>18.393012625163255</v>
      </c>
      <c r="H151" s="68">
        <f>(AVERAGE(H68,G68)/-H14)*365</f>
        <v>18.769930572180993</v>
      </c>
      <c r="I151" s="68">
        <f>H151</f>
        <v>18.769930572180993</v>
      </c>
      <c r="J151" s="68">
        <f t="shared" ref="J151:M151" si="116">I151</f>
        <v>18.769930572180993</v>
      </c>
      <c r="K151" s="68">
        <f t="shared" si="116"/>
        <v>18.769930572180993</v>
      </c>
      <c r="L151" s="68">
        <f t="shared" si="116"/>
        <v>18.769930572180993</v>
      </c>
      <c r="M151" s="68">
        <f t="shared" si="116"/>
        <v>18.769930572180993</v>
      </c>
    </row>
    <row r="153" spans="3:13" x14ac:dyDescent="0.25">
      <c r="C153" s="65" t="s">
        <v>138</v>
      </c>
    </row>
    <row r="154" spans="3:13" x14ac:dyDescent="0.25">
      <c r="C154" s="66" t="s">
        <v>205</v>
      </c>
      <c r="E154" s="28">
        <f>D156</f>
        <v>2230</v>
      </c>
      <c r="F154" s="28">
        <f t="shared" ref="F154:H154" si="117">E156</f>
        <v>11504</v>
      </c>
      <c r="G154" s="28">
        <f t="shared" si="117"/>
        <v>10368</v>
      </c>
      <c r="H154" s="28">
        <f t="shared" si="117"/>
        <v>10438</v>
      </c>
      <c r="I154" s="28">
        <f t="shared" ref="I154:M154" si="118">H156</f>
        <v>9626</v>
      </c>
      <c r="J154" s="28">
        <f t="shared" si="118"/>
        <v>10023.797457404837</v>
      </c>
      <c r="K154" s="28">
        <f t="shared" si="118"/>
        <v>9963.4554810150839</v>
      </c>
      <c r="L154" s="28">
        <f t="shared" si="118"/>
        <v>10446.356964419441</v>
      </c>
      <c r="M154" s="28">
        <f t="shared" si="118"/>
        <v>10557.826436188654</v>
      </c>
    </row>
    <row r="155" spans="3:13" x14ac:dyDescent="0.25">
      <c r="C155" s="67" t="s">
        <v>217</v>
      </c>
      <c r="D155" s="1"/>
      <c r="E155" s="29">
        <f>E156-E154</f>
        <v>9274</v>
      </c>
      <c r="F155" s="29">
        <f t="shared" ref="F155:H155" si="119">F156-F154</f>
        <v>-1136</v>
      </c>
      <c r="G155" s="29">
        <f t="shared" si="119"/>
        <v>70</v>
      </c>
      <c r="H155" s="29">
        <f t="shared" si="119"/>
        <v>-812</v>
      </c>
      <c r="I155" s="29">
        <f t="shared" ref="I155" si="120">I156-I154</f>
        <v>397.79745740483668</v>
      </c>
      <c r="J155" s="29">
        <f t="shared" ref="J155" si="121">J156-J154</f>
        <v>-60.341976389752745</v>
      </c>
      <c r="K155" s="29">
        <f t="shared" ref="K155" si="122">K156-K154</f>
        <v>482.90148340435735</v>
      </c>
      <c r="L155" s="29">
        <f t="shared" ref="L155" si="123">L156-L154</f>
        <v>111.46947176921276</v>
      </c>
      <c r="M155" s="29">
        <f t="shared" ref="M155" si="124">M156-M154</f>
        <v>211.71152005170916</v>
      </c>
    </row>
    <row r="156" spans="3:13" x14ac:dyDescent="0.25">
      <c r="C156" s="65" t="s">
        <v>207</v>
      </c>
      <c r="D156" s="60">
        <f>D69</f>
        <v>2230</v>
      </c>
      <c r="E156" s="60">
        <f>E69</f>
        <v>11504</v>
      </c>
      <c r="F156" s="60">
        <f>F69</f>
        <v>10368</v>
      </c>
      <c r="G156" s="60">
        <f>G69</f>
        <v>10438</v>
      </c>
      <c r="H156" s="60">
        <f>H69</f>
        <v>9626</v>
      </c>
      <c r="I156" s="60">
        <f>IF($D$158=1,H156*(1+I160),2*-I14*I161/365-I154)</f>
        <v>10023.797457404837</v>
      </c>
      <c r="J156" s="60">
        <f>IF($D$158=1,I156*(1+J160),2*-J14*J161/365-J154)</f>
        <v>9963.4554810150839</v>
      </c>
      <c r="K156" s="60">
        <f>IF($D$158=1,J156*(1+K160),2*-K14*K161/365-K154)</f>
        <v>10446.356964419441</v>
      </c>
      <c r="L156" s="60">
        <f>IF($D$158=1,K156*(1+L160),2*-L14*L161/365-L154)</f>
        <v>10557.826436188654</v>
      </c>
      <c r="M156" s="60">
        <f>IF($D$158=1,L156*(1+M160),2*-M14*M161/365-M154)</f>
        <v>10769.537956240363</v>
      </c>
    </row>
    <row r="157" spans="3:13" x14ac:dyDescent="0.25">
      <c r="C157" s="66"/>
    </row>
    <row r="158" spans="3:13" x14ac:dyDescent="0.25">
      <c r="C158" s="66" t="s">
        <v>224</v>
      </c>
      <c r="D158" s="139">
        <v>1</v>
      </c>
    </row>
    <row r="159" spans="3:13" x14ac:dyDescent="0.25">
      <c r="C159" s="66"/>
    </row>
    <row r="160" spans="3:13" x14ac:dyDescent="0.25">
      <c r="C160" s="66" t="s">
        <v>227</v>
      </c>
      <c r="E160" s="51">
        <f>E14/D14-1</f>
        <v>3.4246753246753245</v>
      </c>
      <c r="F160" s="51">
        <f>F14/E14-1</f>
        <v>0.19978475687310437</v>
      </c>
      <c r="G160" s="51">
        <f>G14/F14-1</f>
        <v>-6.3442876946913529E-2</v>
      </c>
      <c r="H160" s="51">
        <f>H14/G14-1</f>
        <v>-9.0770570309098852E-2</v>
      </c>
      <c r="I160" s="51">
        <f>I14/H14-1</f>
        <v>4.1325312425185556E-2</v>
      </c>
      <c r="J160" s="51">
        <f>J14/I14-1</f>
        <v>-6.0198718745236857E-3</v>
      </c>
      <c r="K160" s="51">
        <f>K14/J14-1</f>
        <v>4.8467269646008226E-2</v>
      </c>
      <c r="L160" s="51">
        <f>L14/K14-1</f>
        <v>1.0670655056961964E-2</v>
      </c>
      <c r="M160" s="51">
        <f>M14/L14-1</f>
        <v>2.0052566816786577E-2</v>
      </c>
    </row>
    <row r="161" spans="2:13" x14ac:dyDescent="0.25">
      <c r="C161" s="66" t="s">
        <v>223</v>
      </c>
      <c r="E161" s="68">
        <f>(AVERAGE(E69,D69)/-E14)*365</f>
        <v>122.6130026416202</v>
      </c>
      <c r="F161" s="68">
        <f>(AVERAGE(F69,E69)/-F14)*365</f>
        <v>162.75136589741498</v>
      </c>
      <c r="G161" s="68">
        <f>(AVERAGE(G69,F69)/-G14)*365</f>
        <v>165.30670439703962</v>
      </c>
      <c r="H161" s="68">
        <f>(AVERAGE(H69,G69)/-H14)*365</f>
        <v>175.32583193679673</v>
      </c>
      <c r="I161" s="68">
        <f>H161</f>
        <v>175.32583193679673</v>
      </c>
      <c r="J161" s="68">
        <f t="shared" ref="J161:M161" si="125">I161</f>
        <v>175.32583193679673</v>
      </c>
      <c r="K161" s="68">
        <f t="shared" si="125"/>
        <v>175.32583193679673</v>
      </c>
      <c r="L161" s="68">
        <f t="shared" si="125"/>
        <v>175.32583193679673</v>
      </c>
      <c r="M161" s="68">
        <f t="shared" si="125"/>
        <v>175.32583193679673</v>
      </c>
    </row>
    <row r="163" spans="2:13" x14ac:dyDescent="0.25">
      <c r="C163" s="65" t="s">
        <v>228</v>
      </c>
    </row>
    <row r="164" spans="2:13" x14ac:dyDescent="0.25">
      <c r="C164" s="66" t="s">
        <v>205</v>
      </c>
      <c r="E164" s="28">
        <f>D166</f>
        <v>478</v>
      </c>
      <c r="F164" s="28">
        <f t="shared" ref="F164:H164" si="126">E166</f>
        <v>1694</v>
      </c>
      <c r="G164" s="28">
        <f t="shared" si="126"/>
        <v>1924</v>
      </c>
      <c r="H164" s="28">
        <f t="shared" si="126"/>
        <v>1569</v>
      </c>
      <c r="I164" s="28">
        <f t="shared" ref="I164:M164" si="127">H166</f>
        <v>1642</v>
      </c>
      <c r="J164" s="28">
        <f t="shared" si="127"/>
        <v>1647.9941629129128</v>
      </c>
      <c r="K164" s="28">
        <f t="shared" si="127"/>
        <v>1678.5197072072069</v>
      </c>
      <c r="L164" s="28">
        <f t="shared" si="127"/>
        <v>1705.7230367867867</v>
      </c>
      <c r="M164" s="28">
        <f t="shared" si="127"/>
        <v>1709.3146916559415</v>
      </c>
    </row>
    <row r="165" spans="2:13" x14ac:dyDescent="0.25">
      <c r="C165" s="67" t="s">
        <v>217</v>
      </c>
      <c r="D165" s="1"/>
      <c r="E165" s="29">
        <f>E166-E164</f>
        <v>1216</v>
      </c>
      <c r="F165" s="29">
        <f t="shared" ref="F165:H165" si="128">F166-F164</f>
        <v>230</v>
      </c>
      <c r="G165" s="29">
        <f t="shared" si="128"/>
        <v>-355</v>
      </c>
      <c r="H165" s="29">
        <f t="shared" si="128"/>
        <v>73</v>
      </c>
      <c r="I165" s="29">
        <f t="shared" ref="I165" si="129">I166-I164</f>
        <v>5.9941629129127705</v>
      </c>
      <c r="J165" s="29">
        <f t="shared" ref="J165" si="130">J166-J164</f>
        <v>30.52554429429415</v>
      </c>
      <c r="K165" s="29">
        <f t="shared" ref="K165" si="131">K166-K164</f>
        <v>27.203329579579759</v>
      </c>
      <c r="L165" s="29">
        <f t="shared" ref="L165" si="132">L166-L164</f>
        <v>3.5916548691548087</v>
      </c>
      <c r="M165" s="29">
        <f t="shared" ref="M165" si="133">M166-M164</f>
        <v>22.534794616044564</v>
      </c>
    </row>
    <row r="166" spans="2:13" x14ac:dyDescent="0.25">
      <c r="C166" s="65" t="s">
        <v>207</v>
      </c>
      <c r="D166" s="60">
        <f>D70</f>
        <v>478</v>
      </c>
      <c r="E166" s="60">
        <f>E70</f>
        <v>1694</v>
      </c>
      <c r="F166" s="60">
        <f>F70</f>
        <v>1924</v>
      </c>
      <c r="G166" s="60">
        <f>G70</f>
        <v>1569</v>
      </c>
      <c r="H166" s="60">
        <f>H70</f>
        <v>1642</v>
      </c>
      <c r="I166" s="60">
        <f>IF($D$168=1,H166*(1+I170),2*I13*I171/365-I164)</f>
        <v>1647.9941629129128</v>
      </c>
      <c r="J166" s="60">
        <f>IF($D$168=1,I166*(1+J170),2*J13*J171/365-J164)</f>
        <v>1678.5197072072069</v>
      </c>
      <c r="K166" s="60">
        <f>IF($D$168=1,J166*(1+K170),2*K13*K171/365-K164)</f>
        <v>1705.7230367867867</v>
      </c>
      <c r="L166" s="60">
        <f>IF($D$168=1,K166*(1+L170),2*L13*L171/365-L164)</f>
        <v>1709.3146916559415</v>
      </c>
      <c r="M166" s="60">
        <f>IF($D$168=1,L166*(1+M170),2*M13*M171/365-M164)</f>
        <v>1731.8494862719861</v>
      </c>
    </row>
    <row r="167" spans="2:13" x14ac:dyDescent="0.25">
      <c r="C167" s="66"/>
    </row>
    <row r="168" spans="2:13" x14ac:dyDescent="0.25">
      <c r="C168" s="66" t="s">
        <v>224</v>
      </c>
      <c r="D168" s="139">
        <v>1</v>
      </c>
    </row>
    <row r="169" spans="2:13" x14ac:dyDescent="0.25">
      <c r="C169" s="66"/>
    </row>
    <row r="170" spans="2:13" x14ac:dyDescent="0.25">
      <c r="C170" s="66" t="s">
        <v>219</v>
      </c>
      <c r="E170" s="51">
        <f>E44</f>
        <v>1.7739315888770406</v>
      </c>
      <c r="F170" s="51">
        <f>F44</f>
        <v>0.22190022769612927</v>
      </c>
      <c r="G170" s="51">
        <f>G44</f>
        <v>-4.8401539168945518E-2</v>
      </c>
      <c r="H170" s="51">
        <f>H44</f>
        <v>-5.1499198901350463E-2</v>
      </c>
      <c r="I170" s="51">
        <f>I44</f>
        <v>3.650525525525472E-3</v>
      </c>
      <c r="J170" s="51">
        <f>J44</f>
        <v>1.8522847338450887E-2</v>
      </c>
      <c r="K170" s="51">
        <f>K44</f>
        <v>1.6206738272285026E-2</v>
      </c>
      <c r="L170" s="51">
        <f>L44</f>
        <v>2.1056495056317459E-3</v>
      </c>
      <c r="M170" s="51">
        <f>M44</f>
        <v>1.3183525962801701E-2</v>
      </c>
    </row>
    <row r="171" spans="2:13" x14ac:dyDescent="0.25">
      <c r="C171" s="66" t="s">
        <v>229</v>
      </c>
      <c r="E171" s="68">
        <f>(AVERAGE(E70,D70)/E13)*365</f>
        <v>11.721619303900404</v>
      </c>
      <c r="F171" s="68">
        <f>(AVERAGE(F70,E70)/F13)*365</f>
        <v>15.979405145083614</v>
      </c>
      <c r="G171" s="68">
        <f>(AVERAGE(G70,F70)/G13)*365</f>
        <v>16.212011393403017</v>
      </c>
      <c r="H171" s="68">
        <f>(AVERAGE(H70,G70)/H13)*365</f>
        <v>15.712341806091805</v>
      </c>
      <c r="I171" s="68">
        <f>H171</f>
        <v>15.712341806091805</v>
      </c>
      <c r="J171" s="68">
        <f t="shared" ref="J171:M171" si="134">I171</f>
        <v>15.712341806091805</v>
      </c>
      <c r="K171" s="68">
        <f t="shared" si="134"/>
        <v>15.712341806091805</v>
      </c>
      <c r="L171" s="68">
        <f t="shared" si="134"/>
        <v>15.712341806091805</v>
      </c>
      <c r="M171" s="68">
        <f t="shared" si="134"/>
        <v>15.712341806091805</v>
      </c>
    </row>
    <row r="174" spans="2:13" x14ac:dyDescent="0.25">
      <c r="B174" t="s">
        <v>129</v>
      </c>
      <c r="C174" s="14" t="s">
        <v>204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5"/>
    </row>
    <row r="175" spans="2:13" x14ac:dyDescent="0.25">
      <c r="C175" s="40" t="s">
        <v>103</v>
      </c>
      <c r="D175" s="41">
        <v>2021</v>
      </c>
      <c r="E175" s="41">
        <v>2022</v>
      </c>
      <c r="F175" s="41">
        <v>2023</v>
      </c>
      <c r="G175" s="41">
        <v>2024</v>
      </c>
      <c r="H175" s="41">
        <v>2025</v>
      </c>
      <c r="I175" s="42">
        <v>2026</v>
      </c>
      <c r="J175" s="42">
        <v>2027</v>
      </c>
      <c r="K175" s="42">
        <v>2028</v>
      </c>
      <c r="L175" s="42">
        <v>2029</v>
      </c>
      <c r="M175" s="42">
        <v>2030</v>
      </c>
    </row>
    <row r="176" spans="2:13" x14ac:dyDescent="0.25">
      <c r="C176" s="18" t="s">
        <v>104</v>
      </c>
      <c r="D176" s="43">
        <v>44561</v>
      </c>
      <c r="E176" s="43">
        <f>EOMONTH(D176,12)</f>
        <v>44926</v>
      </c>
      <c r="F176" s="43">
        <f t="shared" ref="F176" si="135">EOMONTH(E176,12)</f>
        <v>45291</v>
      </c>
      <c r="G176" s="43">
        <f t="shared" ref="G176" si="136">EOMONTH(F176,12)</f>
        <v>45657</v>
      </c>
      <c r="H176" s="43">
        <f t="shared" ref="H176" si="137">EOMONTH(G176,12)</f>
        <v>46022</v>
      </c>
      <c r="I176" s="43">
        <f t="shared" ref="I176" si="138">EOMONTH(H176,12)</f>
        <v>46387</v>
      </c>
      <c r="J176" s="43">
        <f t="shared" ref="J176" si="139">EOMONTH(I176,12)</f>
        <v>46752</v>
      </c>
      <c r="K176" s="43">
        <f t="shared" ref="K176" si="140">EOMONTH(J176,12)</f>
        <v>47118</v>
      </c>
      <c r="L176" s="43">
        <f t="shared" ref="L176" si="141">EOMONTH(K176,12)</f>
        <v>47483</v>
      </c>
      <c r="M176" s="43">
        <f t="shared" ref="M176" si="142">EOMONTH(L176,12)</f>
        <v>47848</v>
      </c>
    </row>
    <row r="178" spans="3:13" x14ac:dyDescent="0.25">
      <c r="C178" t="s">
        <v>205</v>
      </c>
      <c r="D178" s="28"/>
      <c r="E178" s="28">
        <f>D181</f>
        <v>1336</v>
      </c>
      <c r="F178" s="28">
        <f t="shared" ref="F178:M178" si="143">E181</f>
        <v>5301</v>
      </c>
      <c r="G178" s="28">
        <f t="shared" si="143"/>
        <v>5957</v>
      </c>
      <c r="H178" s="28">
        <f t="shared" si="143"/>
        <v>6087</v>
      </c>
      <c r="I178" s="28">
        <f t="shared" si="143"/>
        <v>6685</v>
      </c>
      <c r="J178" s="28">
        <f t="shared" si="143"/>
        <v>6691.2316898930185</v>
      </c>
      <c r="K178" s="28">
        <f t="shared" si="143"/>
        <v>6880.9773226351354</v>
      </c>
      <c r="L178" s="28">
        <f t="shared" si="143"/>
        <v>7155.7147212837835</v>
      </c>
      <c r="M178" s="28">
        <f t="shared" si="143"/>
        <v>7422.1282031250003</v>
      </c>
    </row>
    <row r="179" spans="3:13" x14ac:dyDescent="0.25">
      <c r="C179" t="s">
        <v>211</v>
      </c>
      <c r="D179" s="32">
        <v>373</v>
      </c>
      <c r="E179" s="28">
        <f>E181-E178-E180</f>
        <v>4922</v>
      </c>
      <c r="F179" s="28">
        <f t="shared" ref="F179:H179" si="144">F181-F178-F180</f>
        <v>1753</v>
      </c>
      <c r="G179" s="28">
        <f t="shared" si="144"/>
        <v>1232</v>
      </c>
      <c r="H179" s="28">
        <f t="shared" si="144"/>
        <v>1677</v>
      </c>
      <c r="I179" s="28">
        <f>H179*(1+I44)</f>
        <v>1683.1219313063061</v>
      </c>
      <c r="J179" s="28">
        <f>I179*(1+J44)</f>
        <v>1714.2981418918914</v>
      </c>
      <c r="K179" s="28">
        <f>J179*(1+K44)</f>
        <v>1742.0813231981979</v>
      </c>
      <c r="L179" s="28">
        <f>K179*(1+L44)</f>
        <v>1745.7495358751605</v>
      </c>
      <c r="M179" s="28">
        <f>L179*(1+M44)</f>
        <v>1768.7646702059196</v>
      </c>
    </row>
    <row r="180" spans="3:13" x14ac:dyDescent="0.25">
      <c r="C180" s="1" t="s">
        <v>206</v>
      </c>
      <c r="D180" s="33">
        <v>-311</v>
      </c>
      <c r="E180" s="33">
        <v>-957</v>
      </c>
      <c r="F180" s="33">
        <v>-1097</v>
      </c>
      <c r="G180" s="33">
        <v>-1102</v>
      </c>
      <c r="H180" s="33">
        <v>-1079</v>
      </c>
      <c r="I180" s="29">
        <f>-I197</f>
        <v>-1676.8902414132883</v>
      </c>
      <c r="J180" s="29">
        <f t="shared" ref="J180:M180" si="145">-J197</f>
        <v>-1524.5525091497748</v>
      </c>
      <c r="K180" s="29">
        <f t="shared" si="145"/>
        <v>-1467.3439245495495</v>
      </c>
      <c r="L180" s="29">
        <f t="shared" si="145"/>
        <v>-1479.3360540339445</v>
      </c>
      <c r="M180" s="29">
        <f t="shared" si="145"/>
        <v>-1545.7617159346844</v>
      </c>
    </row>
    <row r="181" spans="3:13" x14ac:dyDescent="0.25">
      <c r="C181" s="58" t="s">
        <v>207</v>
      </c>
      <c r="D181" s="60">
        <f>D62</f>
        <v>1336</v>
      </c>
      <c r="E181" s="60">
        <f>E62</f>
        <v>5301</v>
      </c>
      <c r="F181" s="60">
        <f>F62</f>
        <v>5957</v>
      </c>
      <c r="G181" s="60">
        <f>G62</f>
        <v>6087</v>
      </c>
      <c r="H181" s="60">
        <f>H62</f>
        <v>6685</v>
      </c>
      <c r="I181" s="60">
        <f>SUM(I178:I180)</f>
        <v>6691.2316898930185</v>
      </c>
      <c r="J181" s="60">
        <f t="shared" ref="J181:M181" si="146">SUM(J178:J180)</f>
        <v>6880.9773226351354</v>
      </c>
      <c r="K181" s="60">
        <f t="shared" si="146"/>
        <v>7155.7147212837835</v>
      </c>
      <c r="L181" s="60">
        <f t="shared" si="146"/>
        <v>7422.1282031250003</v>
      </c>
      <c r="M181" s="60">
        <f t="shared" si="146"/>
        <v>7645.1311573962357</v>
      </c>
    </row>
    <row r="183" spans="3:13" x14ac:dyDescent="0.25">
      <c r="C183" s="52" t="s">
        <v>230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3:13" x14ac:dyDescent="0.25">
      <c r="C184" s="66" t="s">
        <v>231</v>
      </c>
      <c r="G184" s="73">
        <v>9521</v>
      </c>
      <c r="H184" s="73">
        <v>10692</v>
      </c>
    </row>
    <row r="185" spans="3:13" x14ac:dyDescent="0.25">
      <c r="C185" s="66" t="s">
        <v>233</v>
      </c>
      <c r="G185" s="73">
        <v>-4035</v>
      </c>
      <c r="H185" s="73">
        <v>-4826</v>
      </c>
    </row>
    <row r="186" spans="3:13" x14ac:dyDescent="0.25">
      <c r="C186" s="66" t="s">
        <v>244</v>
      </c>
      <c r="G186" s="73">
        <f>SUM(G184:G185)</f>
        <v>5486</v>
      </c>
      <c r="H186" s="73">
        <f>SUM(H184:H185)</f>
        <v>5866</v>
      </c>
    </row>
    <row r="188" spans="3:13" x14ac:dyDescent="0.25">
      <c r="C188" s="69" t="s">
        <v>234</v>
      </c>
      <c r="D188" s="141">
        <f>IF(D189,D189,ROUND(H184/-H180,0))</f>
        <v>8</v>
      </c>
    </row>
    <row r="189" spans="3:13" x14ac:dyDescent="0.25">
      <c r="C189" s="70" t="s">
        <v>235</v>
      </c>
      <c r="D189" s="141">
        <v>8</v>
      </c>
    </row>
    <row r="191" spans="3:13" x14ac:dyDescent="0.25">
      <c r="C191" t="s">
        <v>236</v>
      </c>
      <c r="I191" s="28">
        <f>IF(I175-$H$175&lt;=$D$188,DDB($H$186,0,$D$188,I175-$H$175),0)</f>
        <v>1466.5</v>
      </c>
      <c r="J191" s="28">
        <f t="shared" ref="J191:M191" si="147">IF(J175-$H$175&lt;=$D$188,DDB($H$186,0,$D$188,J175-$H$175),0)</f>
        <v>1099.875</v>
      </c>
      <c r="K191" s="28">
        <f t="shared" si="147"/>
        <v>824.90625</v>
      </c>
      <c r="L191" s="28">
        <f t="shared" si="147"/>
        <v>618.6796875</v>
      </c>
      <c r="M191" s="28">
        <f t="shared" si="147"/>
        <v>464.009765625</v>
      </c>
    </row>
    <row r="192" spans="3:13" x14ac:dyDescent="0.25">
      <c r="C192" t="s">
        <v>237</v>
      </c>
      <c r="D192" s="11" t="s">
        <v>243</v>
      </c>
      <c r="I192" s="28">
        <f>$D$193*I179/D188</f>
        <v>210.39024141328827</v>
      </c>
      <c r="J192" s="28">
        <f>IF(J175-$I$175&lt;=$D$188,$I$179/$D$188,0)</f>
        <v>210.39024141328827</v>
      </c>
      <c r="K192" s="28">
        <f t="shared" ref="K192:M192" si="148">IF(K175-$I$175&lt;=$D$188,$I$179/$D$188,0)</f>
        <v>210.39024141328827</v>
      </c>
      <c r="L192" s="28">
        <f t="shared" si="148"/>
        <v>210.39024141328827</v>
      </c>
      <c r="M192" s="28">
        <f t="shared" si="148"/>
        <v>210.39024141328827</v>
      </c>
    </row>
    <row r="193" spans="2:13" x14ac:dyDescent="0.25">
      <c r="C193" t="s">
        <v>238</v>
      </c>
      <c r="D193" s="142">
        <v>1</v>
      </c>
      <c r="I193" s="28"/>
      <c r="J193" s="28">
        <f>$D$193*$J$179/$D$188</f>
        <v>214.28726773648643</v>
      </c>
      <c r="K193" s="28">
        <f>IF(K175-$J$175&lt;=$D$188,$J$179/$D$188,0)</f>
        <v>214.28726773648643</v>
      </c>
      <c r="L193" s="28">
        <f t="shared" ref="L193:M193" si="149">IF(L175-$J$175&lt;=$D$188,$J$179/$D$188,0)</f>
        <v>214.28726773648643</v>
      </c>
      <c r="M193" s="28">
        <f t="shared" si="149"/>
        <v>214.28726773648643</v>
      </c>
    </row>
    <row r="194" spans="2:13" x14ac:dyDescent="0.25">
      <c r="C194" t="s">
        <v>239</v>
      </c>
      <c r="I194" s="28"/>
      <c r="J194" s="28"/>
      <c r="K194" s="28">
        <f>$D$193*$K$179/$D$188</f>
        <v>217.76016539977473</v>
      </c>
      <c r="L194" s="28">
        <f>IF(L175-$K$175&lt;=$D$188,$K$179/$D$188,0)</f>
        <v>217.76016539977473</v>
      </c>
      <c r="M194" s="28">
        <f>IF(M175-$K$175&lt;=$D$188,$K$179/$D$188,0)</f>
        <v>217.76016539977473</v>
      </c>
    </row>
    <row r="195" spans="2:13" x14ac:dyDescent="0.25">
      <c r="C195" t="s">
        <v>240</v>
      </c>
      <c r="I195" s="28"/>
      <c r="J195" s="28"/>
      <c r="K195" s="28"/>
      <c r="L195" s="28">
        <f>$D$193*$L$179/$D$188</f>
        <v>218.21869198439506</v>
      </c>
      <c r="M195" s="28">
        <f>IF(M175-$L$175&lt;=$D$188,$L$179/$D$188,0)</f>
        <v>218.21869198439506</v>
      </c>
    </row>
    <row r="196" spans="2:13" x14ac:dyDescent="0.25">
      <c r="C196" s="1" t="s">
        <v>241</v>
      </c>
      <c r="D196" s="1"/>
      <c r="E196" s="1"/>
      <c r="F196" s="1"/>
      <c r="G196" s="1"/>
      <c r="H196" s="1"/>
      <c r="I196" s="29"/>
      <c r="J196" s="29"/>
      <c r="K196" s="29"/>
      <c r="L196" s="29"/>
      <c r="M196" s="29">
        <f>$D$193*$M$179/$D$188</f>
        <v>221.09558377573995</v>
      </c>
    </row>
    <row r="197" spans="2:13" x14ac:dyDescent="0.25">
      <c r="C197" s="58" t="s">
        <v>242</v>
      </c>
      <c r="I197" s="60">
        <f>SUM(I191:I196)</f>
        <v>1676.8902414132883</v>
      </c>
      <c r="J197" s="60">
        <f t="shared" ref="J197:M197" si="150">SUM(J191:J196)</f>
        <v>1524.5525091497748</v>
      </c>
      <c r="K197" s="60">
        <f t="shared" si="150"/>
        <v>1467.3439245495495</v>
      </c>
      <c r="L197" s="60">
        <f t="shared" si="150"/>
        <v>1479.3360540339445</v>
      </c>
      <c r="M197" s="60">
        <f t="shared" si="150"/>
        <v>1545.7617159346844</v>
      </c>
    </row>
    <row r="200" spans="2:13" x14ac:dyDescent="0.25">
      <c r="B200" t="s">
        <v>129</v>
      </c>
      <c r="C200" s="14" t="s">
        <v>208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5"/>
    </row>
    <row r="201" spans="2:13" x14ac:dyDescent="0.25">
      <c r="C201" s="40" t="s">
        <v>103</v>
      </c>
      <c r="D201" s="41">
        <v>2021</v>
      </c>
      <c r="E201" s="41">
        <v>2022</v>
      </c>
      <c r="F201" s="41">
        <v>2023</v>
      </c>
      <c r="G201" s="41">
        <v>2024</v>
      </c>
      <c r="H201" s="41">
        <v>2025</v>
      </c>
      <c r="I201" s="42">
        <v>2026</v>
      </c>
      <c r="J201" s="42">
        <v>2027</v>
      </c>
      <c r="K201" s="42">
        <v>2028</v>
      </c>
      <c r="L201" s="42">
        <v>2029</v>
      </c>
      <c r="M201" s="42">
        <v>2030</v>
      </c>
    </row>
    <row r="202" spans="2:13" x14ac:dyDescent="0.25">
      <c r="C202" s="18" t="s">
        <v>104</v>
      </c>
      <c r="D202" s="43">
        <v>44561</v>
      </c>
      <c r="E202" s="43">
        <f>EOMONTH(D202,12)</f>
        <v>44926</v>
      </c>
      <c r="F202" s="43">
        <f t="shared" ref="F202" si="151">EOMONTH(E202,12)</f>
        <v>45291</v>
      </c>
      <c r="G202" s="43">
        <f t="shared" ref="G202" si="152">EOMONTH(F202,12)</f>
        <v>45657</v>
      </c>
      <c r="H202" s="43">
        <f t="shared" ref="H202" si="153">EOMONTH(G202,12)</f>
        <v>46022</v>
      </c>
      <c r="I202" s="43">
        <f t="shared" ref="I202" si="154">EOMONTH(H202,12)</f>
        <v>46387</v>
      </c>
      <c r="J202" s="43">
        <f t="shared" ref="J202" si="155">EOMONTH(I202,12)</f>
        <v>46752</v>
      </c>
      <c r="K202" s="43">
        <f t="shared" ref="K202" si="156">EOMONTH(J202,12)</f>
        <v>47118</v>
      </c>
      <c r="L202" s="43">
        <f t="shared" ref="L202" si="157">EOMONTH(K202,12)</f>
        <v>47483</v>
      </c>
      <c r="M202" s="43">
        <f t="shared" ref="M202" si="158">EOMONTH(L202,12)</f>
        <v>47848</v>
      </c>
    </row>
    <row r="204" spans="2:13" x14ac:dyDescent="0.25">
      <c r="C204" t="s">
        <v>205</v>
      </c>
      <c r="D204" s="28"/>
      <c r="E204" s="28">
        <f>D207</f>
        <v>10149</v>
      </c>
      <c r="F204" s="28">
        <f t="shared" ref="F204:M204" si="159">E207</f>
        <v>71634</v>
      </c>
      <c r="G204" s="28">
        <f t="shared" si="159"/>
        <v>59514</v>
      </c>
      <c r="H204" s="28">
        <f t="shared" si="159"/>
        <v>51401</v>
      </c>
      <c r="I204" s="28">
        <f t="shared" si="159"/>
        <v>46878</v>
      </c>
      <c r="J204" s="28">
        <f t="shared" si="159"/>
        <v>47049.129335585581</v>
      </c>
      <c r="K204" s="28">
        <f t="shared" si="159"/>
        <v>47920.613175675666</v>
      </c>
      <c r="L204" s="28">
        <f t="shared" si="159"/>
        <v>48697.250011261254</v>
      </c>
      <c r="M204" s="28">
        <f t="shared" si="159"/>
        <v>48799.789351673091</v>
      </c>
    </row>
    <row r="205" spans="2:13" x14ac:dyDescent="0.25">
      <c r="C205" t="s">
        <v>212</v>
      </c>
      <c r="D205" s="28"/>
      <c r="E205" s="28">
        <f>E207-E204-E206</f>
        <v>67685</v>
      </c>
      <c r="F205" s="28">
        <f t="shared" ref="F205:M205" si="160">F207-F204-F206</f>
        <v>-5266</v>
      </c>
      <c r="G205" s="28">
        <f t="shared" si="160"/>
        <v>-2178</v>
      </c>
      <c r="H205" s="28">
        <f t="shared" si="160"/>
        <v>82</v>
      </c>
      <c r="I205" s="28">
        <f t="shared" si="160"/>
        <v>3597.1293355855814</v>
      </c>
      <c r="J205" s="28">
        <f t="shared" si="160"/>
        <v>3497.4838400900844</v>
      </c>
      <c r="K205" s="28">
        <f t="shared" si="160"/>
        <v>2783.6368355855884</v>
      </c>
      <c r="L205" s="28">
        <f t="shared" si="160"/>
        <v>1869.5393404118367</v>
      </c>
      <c r="M205" s="28">
        <f t="shared" si="160"/>
        <v>2202.353289897037</v>
      </c>
    </row>
    <row r="206" spans="2:13" x14ac:dyDescent="0.25">
      <c r="C206" s="1" t="s">
        <v>213</v>
      </c>
      <c r="D206" s="33">
        <v>-1300</v>
      </c>
      <c r="E206" s="33">
        <v>-6200</v>
      </c>
      <c r="F206" s="33">
        <v>-6854</v>
      </c>
      <c r="G206" s="33">
        <v>-5935</v>
      </c>
      <c r="H206" s="33">
        <v>-4605</v>
      </c>
      <c r="I206" s="33">
        <v>-3426</v>
      </c>
      <c r="J206" s="33">
        <v>-2626</v>
      </c>
      <c r="K206" s="33">
        <v>-2007</v>
      </c>
      <c r="L206" s="33">
        <v>-1767</v>
      </c>
      <c r="M206" s="33">
        <v>-1559</v>
      </c>
    </row>
    <row r="207" spans="2:13" x14ac:dyDescent="0.25">
      <c r="C207" s="58" t="s">
        <v>207</v>
      </c>
      <c r="D207" s="60">
        <f>D64</f>
        <v>10149</v>
      </c>
      <c r="E207" s="60">
        <f>E64</f>
        <v>71634</v>
      </c>
      <c r="F207" s="60">
        <f>F64</f>
        <v>59514</v>
      </c>
      <c r="G207" s="60">
        <f>G64</f>
        <v>51401</v>
      </c>
      <c r="H207" s="60">
        <f>H64</f>
        <v>46878</v>
      </c>
      <c r="I207" s="60">
        <f>H207*(1+I44)</f>
        <v>47049.129335585581</v>
      </c>
      <c r="J207" s="60">
        <f>I207*(1+J44)</f>
        <v>47920.613175675666</v>
      </c>
      <c r="K207" s="60">
        <f>J207*(1+K44)</f>
        <v>48697.250011261254</v>
      </c>
      <c r="L207" s="60">
        <f>K207*(1+L44)</f>
        <v>48799.789351673091</v>
      </c>
      <c r="M207" s="60">
        <f>L207*(1+M44)</f>
        <v>49443.142641570128</v>
      </c>
    </row>
    <row r="210" spans="2:13" x14ac:dyDescent="0.25">
      <c r="B210" t="s">
        <v>129</v>
      </c>
      <c r="C210" s="14" t="s">
        <v>209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5"/>
    </row>
    <row r="211" spans="2:13" x14ac:dyDescent="0.25">
      <c r="C211" s="40" t="s">
        <v>103</v>
      </c>
      <c r="D211" s="41">
        <v>2021</v>
      </c>
      <c r="E211" s="41">
        <v>2022</v>
      </c>
      <c r="F211" s="41">
        <v>2023</v>
      </c>
      <c r="G211" s="41">
        <v>2024</v>
      </c>
      <c r="H211" s="41">
        <v>2025</v>
      </c>
      <c r="I211" s="42">
        <v>2026</v>
      </c>
      <c r="J211" s="42">
        <v>2027</v>
      </c>
      <c r="K211" s="42">
        <v>2028</v>
      </c>
      <c r="L211" s="42">
        <v>2029</v>
      </c>
      <c r="M211" s="42">
        <v>2030</v>
      </c>
    </row>
    <row r="212" spans="2:13" x14ac:dyDescent="0.25">
      <c r="C212" s="18" t="s">
        <v>104</v>
      </c>
      <c r="D212" s="43">
        <v>44561</v>
      </c>
      <c r="E212" s="43">
        <f>EOMONTH(D212,12)</f>
        <v>44926</v>
      </c>
      <c r="F212" s="43">
        <f t="shared" ref="F212" si="161">EOMONTH(E212,12)</f>
        <v>45291</v>
      </c>
      <c r="G212" s="43">
        <f t="shared" ref="G212" si="162">EOMONTH(F212,12)</f>
        <v>45657</v>
      </c>
      <c r="H212" s="43">
        <f t="shared" ref="H212" si="163">EOMONTH(G212,12)</f>
        <v>46022</v>
      </c>
      <c r="I212" s="43">
        <f t="shared" ref="I212" si="164">EOMONTH(H212,12)</f>
        <v>46387</v>
      </c>
      <c r="J212" s="43">
        <f t="shared" ref="J212" si="165">EOMONTH(I212,12)</f>
        <v>46752</v>
      </c>
      <c r="K212" s="43">
        <f t="shared" ref="K212" si="166">EOMONTH(J212,12)</f>
        <v>47118</v>
      </c>
      <c r="L212" s="43">
        <f t="shared" ref="L212" si="167">EOMONTH(K212,12)</f>
        <v>47483</v>
      </c>
      <c r="M212" s="43">
        <f t="shared" ref="M212" si="168">EOMONTH(L212,12)</f>
        <v>47848</v>
      </c>
    </row>
    <row r="214" spans="2:13" x14ac:dyDescent="0.25">
      <c r="C214" s="66" t="s">
        <v>245</v>
      </c>
      <c r="D214" s="28"/>
      <c r="E214" s="28"/>
      <c r="F214" s="28"/>
      <c r="G214" s="28"/>
      <c r="H214" s="28"/>
      <c r="I214" s="28">
        <f>H59</f>
        <v>4566</v>
      </c>
      <c r="J214" s="28">
        <f t="shared" ref="J214:M214" ca="1" si="169">I59</f>
        <v>4976.8936813516275</v>
      </c>
      <c r="K214" s="28">
        <f t="shared" ca="1" si="169"/>
        <v>4039.96440169168</v>
      </c>
      <c r="L214" s="28">
        <f t="shared" ca="1" si="169"/>
        <v>4147.3382612658897</v>
      </c>
      <c r="M214" s="28">
        <f t="shared" ca="1" si="169"/>
        <v>4028.2425068151961</v>
      </c>
    </row>
    <row r="215" spans="2:13" x14ac:dyDescent="0.25">
      <c r="C215" s="66" t="s">
        <v>271</v>
      </c>
      <c r="D215" s="28"/>
      <c r="E215" s="28"/>
      <c r="F215" s="28"/>
      <c r="G215" s="28"/>
      <c r="H215" s="28"/>
      <c r="I215" s="28">
        <f ca="1">I104+I108</f>
        <v>549.89368135162749</v>
      </c>
      <c r="J215" s="28">
        <f t="shared" ref="J215:M215" ca="1" si="170">J104+J108</f>
        <v>546.0707203400525</v>
      </c>
      <c r="K215" s="28">
        <f t="shared" ca="1" si="170"/>
        <v>1516.3738595742097</v>
      </c>
      <c r="L215" s="28">
        <f t="shared" ca="1" si="170"/>
        <v>2154.9042455493063</v>
      </c>
      <c r="M215" s="28">
        <f t="shared" ca="1" si="170"/>
        <v>1918.1461104660971</v>
      </c>
    </row>
    <row r="216" spans="2:13" x14ac:dyDescent="0.25">
      <c r="C216" s="67" t="s">
        <v>246</v>
      </c>
      <c r="D216" s="29"/>
      <c r="E216" s="29"/>
      <c r="F216" s="29"/>
      <c r="G216" s="29"/>
      <c r="H216" s="29"/>
      <c r="I216" s="29">
        <f>-0.02*I13</f>
        <v>-748.64300000000003</v>
      </c>
      <c r="J216" s="29">
        <f>-0.02*J13</f>
        <v>-762.51</v>
      </c>
      <c r="K216" s="29">
        <f>-0.02*K13</f>
        <v>-774.86779999999999</v>
      </c>
      <c r="L216" s="29">
        <f>-0.02*L13</f>
        <v>-776.49940000000004</v>
      </c>
      <c r="M216" s="29">
        <f>-0.02*M13</f>
        <v>-786.7364</v>
      </c>
    </row>
    <row r="217" spans="2:13" x14ac:dyDescent="0.25">
      <c r="C217" s="65" t="s">
        <v>247</v>
      </c>
      <c r="D217" s="28"/>
      <c r="E217" s="28"/>
      <c r="F217" s="28"/>
      <c r="G217" s="28"/>
      <c r="H217" s="28"/>
      <c r="I217" s="28">
        <f ca="1">SUM(I214:I216)</f>
        <v>4367.2506813516275</v>
      </c>
      <c r="J217" s="28">
        <f t="shared" ref="J217:M217" ca="1" si="171">SUM(J214:J216)</f>
        <v>4760.4544016916798</v>
      </c>
      <c r="K217" s="28">
        <f t="shared" ca="1" si="171"/>
        <v>4781.4704612658898</v>
      </c>
      <c r="L217" s="28">
        <f t="shared" ca="1" si="171"/>
        <v>5525.7431068151964</v>
      </c>
      <c r="M217" s="28">
        <f t="shared" ca="1" si="171"/>
        <v>5159.6522172812929</v>
      </c>
    </row>
    <row r="218" spans="2:13" x14ac:dyDescent="0.25">
      <c r="C218" s="66"/>
      <c r="D218" s="28"/>
      <c r="E218" s="28"/>
      <c r="F218" s="28"/>
      <c r="G218" s="28"/>
      <c r="H218" s="28"/>
      <c r="I218" s="28"/>
      <c r="J218" s="28"/>
      <c r="K218" s="28"/>
      <c r="L218" s="28"/>
      <c r="M218" s="28"/>
    </row>
    <row r="219" spans="2:13" x14ac:dyDescent="0.25">
      <c r="C219" s="65" t="s">
        <v>158</v>
      </c>
      <c r="D219" s="28"/>
      <c r="E219" s="28"/>
      <c r="F219" s="28"/>
      <c r="G219" s="28"/>
      <c r="H219" s="28"/>
      <c r="I219" s="28"/>
      <c r="J219" s="28"/>
      <c r="K219" s="28"/>
      <c r="L219" s="28"/>
      <c r="M219" s="28"/>
    </row>
    <row r="220" spans="2:13" x14ac:dyDescent="0.25">
      <c r="C220" s="66" t="s">
        <v>205</v>
      </c>
      <c r="D220" s="28"/>
      <c r="E220" s="28"/>
      <c r="F220" s="28"/>
      <c r="G220" s="28"/>
      <c r="H220" s="28"/>
      <c r="I220" s="28">
        <f>H71</f>
        <v>139</v>
      </c>
      <c r="J220" s="28">
        <f>I223</f>
        <v>16483</v>
      </c>
      <c r="K220" s="28">
        <f t="shared" ref="K220:M220" si="172">J223</f>
        <v>1409</v>
      </c>
      <c r="L220" s="28">
        <f t="shared" si="172"/>
        <v>2274</v>
      </c>
      <c r="M220" s="28">
        <f t="shared" si="172"/>
        <v>1354</v>
      </c>
    </row>
    <row r="221" spans="2:13" x14ac:dyDescent="0.25">
      <c r="C221" s="66" t="s">
        <v>272</v>
      </c>
      <c r="D221" s="28"/>
      <c r="E221" s="28"/>
      <c r="F221" s="28"/>
      <c r="G221" s="28"/>
      <c r="H221" s="28"/>
      <c r="I221" s="28">
        <f>-I220-I227</f>
        <v>16344</v>
      </c>
      <c r="J221" s="28">
        <f t="shared" ref="J221:M221" si="173">-J220-J227</f>
        <v>-15074</v>
      </c>
      <c r="K221" s="28">
        <f t="shared" si="173"/>
        <v>865</v>
      </c>
      <c r="L221" s="28">
        <f t="shared" si="173"/>
        <v>-920</v>
      </c>
      <c r="M221" s="28">
        <f t="shared" si="173"/>
        <v>-1354</v>
      </c>
    </row>
    <row r="222" spans="2:13" x14ac:dyDescent="0.25">
      <c r="C222" s="67" t="s">
        <v>273</v>
      </c>
      <c r="D222" s="29"/>
      <c r="E222" s="29"/>
      <c r="F222" s="29"/>
      <c r="G222" s="29"/>
      <c r="H222" s="29"/>
      <c r="I222" s="33">
        <v>0</v>
      </c>
      <c r="J222" s="33">
        <v>0</v>
      </c>
      <c r="K222" s="33">
        <v>0</v>
      </c>
      <c r="L222" s="33">
        <v>0</v>
      </c>
      <c r="M222" s="33">
        <v>0</v>
      </c>
    </row>
    <row r="223" spans="2:13" x14ac:dyDescent="0.25">
      <c r="C223" s="65" t="s">
        <v>207</v>
      </c>
      <c r="D223" s="28"/>
      <c r="E223" s="28"/>
      <c r="F223" s="28"/>
      <c r="G223" s="28"/>
      <c r="H223" s="28"/>
      <c r="I223" s="28">
        <f>SUM(I220:I222)</f>
        <v>16483</v>
      </c>
      <c r="J223" s="28">
        <f t="shared" ref="J223:M223" si="174">SUM(J220:J222)</f>
        <v>1409</v>
      </c>
      <c r="K223" s="28">
        <f t="shared" si="174"/>
        <v>2274</v>
      </c>
      <c r="L223" s="28">
        <f t="shared" si="174"/>
        <v>1354</v>
      </c>
      <c r="M223" s="28">
        <f t="shared" si="174"/>
        <v>0</v>
      </c>
    </row>
    <row r="224" spans="2:13" x14ac:dyDescent="0.25">
      <c r="C224" s="65"/>
      <c r="D224" s="28"/>
      <c r="E224" s="28"/>
      <c r="F224" s="28"/>
      <c r="G224" s="28"/>
      <c r="H224" s="28"/>
      <c r="I224" s="28"/>
      <c r="J224" s="28"/>
      <c r="K224" s="28"/>
      <c r="L224" s="28"/>
      <c r="M224" s="28"/>
    </row>
    <row r="225" spans="2:13" x14ac:dyDescent="0.25">
      <c r="C225" s="65" t="s">
        <v>159</v>
      </c>
      <c r="D225" s="28"/>
      <c r="E225" s="28"/>
      <c r="F225" s="28"/>
      <c r="G225" s="28"/>
      <c r="H225" s="28"/>
      <c r="I225" s="28"/>
      <c r="J225" s="28"/>
      <c r="K225" s="28"/>
      <c r="L225" s="28"/>
      <c r="M225" s="28"/>
    </row>
    <row r="226" spans="2:13" x14ac:dyDescent="0.25">
      <c r="C226" s="66" t="s">
        <v>205</v>
      </c>
      <c r="D226" s="28"/>
      <c r="E226" s="28"/>
      <c r="F226" s="28"/>
      <c r="G226" s="28"/>
      <c r="H226" s="28"/>
      <c r="I226" s="28">
        <f>H72</f>
        <v>32428</v>
      </c>
      <c r="J226" s="28">
        <f>I229</f>
        <v>15945</v>
      </c>
      <c r="K226" s="28">
        <f t="shared" ref="K226:M226" si="175">J229</f>
        <v>29536</v>
      </c>
      <c r="L226" s="28">
        <f t="shared" si="175"/>
        <v>27262</v>
      </c>
      <c r="M226" s="28">
        <f t="shared" si="175"/>
        <v>25908</v>
      </c>
    </row>
    <row r="227" spans="2:13" x14ac:dyDescent="0.25">
      <c r="C227" s="66" t="s">
        <v>272</v>
      </c>
      <c r="D227" s="28"/>
      <c r="E227" s="28"/>
      <c r="F227" s="28"/>
      <c r="G227" s="28"/>
      <c r="H227" s="28"/>
      <c r="I227" s="28">
        <v>-16483</v>
      </c>
      <c r="J227" s="28">
        <v>-1409</v>
      </c>
      <c r="K227" s="28">
        <v>-2274</v>
      </c>
      <c r="L227" s="28">
        <v>-1354</v>
      </c>
      <c r="M227" s="28">
        <v>0</v>
      </c>
    </row>
    <row r="228" spans="2:13" x14ac:dyDescent="0.25">
      <c r="C228" s="67" t="s">
        <v>273</v>
      </c>
      <c r="D228" s="29"/>
      <c r="E228" s="29"/>
      <c r="F228" s="29"/>
      <c r="G228" s="29"/>
      <c r="H228" s="29"/>
      <c r="I228" s="33">
        <v>0</v>
      </c>
      <c r="J228" s="33">
        <v>15000</v>
      </c>
      <c r="K228" s="33">
        <v>0</v>
      </c>
      <c r="L228" s="33">
        <v>0</v>
      </c>
      <c r="M228" s="33">
        <v>0</v>
      </c>
    </row>
    <row r="229" spans="2:13" x14ac:dyDescent="0.25">
      <c r="C229" s="65" t="s">
        <v>207</v>
      </c>
      <c r="D229" s="28"/>
      <c r="E229" s="28"/>
      <c r="F229" s="28"/>
      <c r="G229" s="28"/>
      <c r="H229" s="28"/>
      <c r="I229" s="28">
        <f>SUM(I226:I228)</f>
        <v>15945</v>
      </c>
      <c r="J229" s="28">
        <f t="shared" ref="J229:M229" si="176">SUM(J226:J228)</f>
        <v>29536</v>
      </c>
      <c r="K229" s="28">
        <f t="shared" si="176"/>
        <v>27262</v>
      </c>
      <c r="L229" s="28">
        <f t="shared" si="176"/>
        <v>25908</v>
      </c>
      <c r="M229" s="28">
        <f t="shared" si="176"/>
        <v>25908</v>
      </c>
    </row>
    <row r="230" spans="2:13" x14ac:dyDescent="0.25">
      <c r="C230" s="66" t="s">
        <v>115</v>
      </c>
      <c r="D230" s="28"/>
      <c r="E230" s="28"/>
      <c r="F230" s="28"/>
      <c r="G230" s="28"/>
      <c r="H230" s="28"/>
      <c r="I230" s="32">
        <v>1968.95</v>
      </c>
      <c r="J230" s="32">
        <v>1708.19</v>
      </c>
      <c r="K230" s="32">
        <v>1288.9000000000001</v>
      </c>
      <c r="L230" s="32">
        <v>897</v>
      </c>
      <c r="M230" s="32">
        <v>736</v>
      </c>
    </row>
    <row r="231" spans="2:13" x14ac:dyDescent="0.25">
      <c r="C231" s="66" t="s">
        <v>248</v>
      </c>
      <c r="I231" s="51">
        <f>I230/AVERAGE(I226,I229)</f>
        <v>8.1406983234448976E-2</v>
      </c>
      <c r="J231" s="51">
        <f t="shared" ref="J231:M231" si="177">J230/AVERAGE(J226,J229)</f>
        <v>7.5116642114289492E-2</v>
      </c>
      <c r="K231" s="51">
        <f t="shared" si="177"/>
        <v>4.5385400894397694E-2</v>
      </c>
      <c r="L231" s="51">
        <f t="shared" si="177"/>
        <v>3.3740831295843522E-2</v>
      </c>
      <c r="M231" s="51">
        <f t="shared" si="177"/>
        <v>2.8408213679172456E-2</v>
      </c>
    </row>
    <row r="232" spans="2:13" x14ac:dyDescent="0.25">
      <c r="C232" s="66"/>
      <c r="I232" s="51"/>
      <c r="J232" s="51"/>
      <c r="K232" s="51"/>
      <c r="L232" s="51"/>
      <c r="M232" s="51"/>
    </row>
    <row r="233" spans="2:13" x14ac:dyDescent="0.25">
      <c r="C233" s="66" t="s">
        <v>249</v>
      </c>
      <c r="I233" s="28">
        <f ca="1">IF($D$5=1,AVERAGE(I59,H59)*I234,0)</f>
        <v>199.01155075505517</v>
      </c>
      <c r="J233" s="28">
        <f ca="1">IF($D$5=1,AVERAGE(J59,I59)*J234,0)</f>
        <v>188.04138136332469</v>
      </c>
      <c r="K233" s="28">
        <f ca="1">IF($D$5=1,AVERAGE(K59,J59)*K234,0)</f>
        <v>170.7414809242012</v>
      </c>
      <c r="L233" s="28">
        <f ca="1">IF($D$5=1,AVERAGE(L59,K59)*L234,0)</f>
        <v>170.49702755868634</v>
      </c>
      <c r="M233" s="28">
        <f ca="1">IF($D$5=1,AVERAGE(M59,L59)*M234,0)</f>
        <v>179.77829637212764</v>
      </c>
    </row>
    <row r="234" spans="2:13" x14ac:dyDescent="0.25">
      <c r="C234" s="66" t="s">
        <v>248</v>
      </c>
      <c r="I234" s="51">
        <f>H23/AVERAGE(H59,G59)</f>
        <v>4.1708847944928122E-2</v>
      </c>
      <c r="J234" s="51">
        <f>I234</f>
        <v>4.1708847944928122E-2</v>
      </c>
      <c r="K234" s="51">
        <f t="shared" ref="K234:M234" si="178">J234</f>
        <v>4.1708847944928122E-2</v>
      </c>
      <c r="L234" s="51">
        <f t="shared" si="178"/>
        <v>4.1708847944928122E-2</v>
      </c>
      <c r="M234" s="51">
        <f t="shared" si="178"/>
        <v>4.1708847944928122E-2</v>
      </c>
    </row>
    <row r="235" spans="2:13" x14ac:dyDescent="0.25">
      <c r="C235" s="66"/>
      <c r="I235" s="51"/>
      <c r="J235" s="51"/>
      <c r="K235" s="51"/>
      <c r="L235" s="51"/>
      <c r="M235" s="51"/>
    </row>
    <row r="237" spans="2:13" x14ac:dyDescent="0.25">
      <c r="B237" t="s">
        <v>129</v>
      </c>
      <c r="C237" s="14" t="s">
        <v>145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5"/>
    </row>
    <row r="238" spans="2:13" x14ac:dyDescent="0.25">
      <c r="C238" s="40" t="s">
        <v>103</v>
      </c>
      <c r="D238" s="41">
        <v>2021</v>
      </c>
      <c r="E238" s="41">
        <v>2022</v>
      </c>
      <c r="F238" s="41">
        <v>2023</v>
      </c>
      <c r="G238" s="41">
        <v>2024</v>
      </c>
      <c r="H238" s="41">
        <v>2025</v>
      </c>
      <c r="I238" s="42">
        <v>2026</v>
      </c>
      <c r="J238" s="42">
        <v>2027</v>
      </c>
      <c r="K238" s="42">
        <v>2028</v>
      </c>
      <c r="L238" s="42">
        <v>2029</v>
      </c>
      <c r="M238" s="42">
        <v>2030</v>
      </c>
    </row>
    <row r="239" spans="2:13" x14ac:dyDescent="0.25">
      <c r="C239" s="18" t="s">
        <v>104</v>
      </c>
      <c r="D239" s="43">
        <v>44561</v>
      </c>
      <c r="E239" s="43">
        <f>EOMONTH(D239,12)</f>
        <v>44926</v>
      </c>
      <c r="F239" s="43">
        <f t="shared" ref="F239" si="179">EOMONTH(E239,12)</f>
        <v>45291</v>
      </c>
      <c r="G239" s="43">
        <f t="shared" ref="G239" si="180">EOMONTH(F239,12)</f>
        <v>45657</v>
      </c>
      <c r="H239" s="43">
        <f t="shared" ref="H239" si="181">EOMONTH(G239,12)</f>
        <v>46022</v>
      </c>
      <c r="I239" s="43">
        <f t="shared" ref="I239" si="182">EOMONTH(H239,12)</f>
        <v>46387</v>
      </c>
      <c r="J239" s="43">
        <f t="shared" ref="J239" si="183">EOMONTH(I239,12)</f>
        <v>46752</v>
      </c>
      <c r="K239" s="43">
        <f t="shared" ref="K239" si="184">EOMONTH(J239,12)</f>
        <v>47118</v>
      </c>
      <c r="L239" s="43">
        <f t="shared" ref="L239" si="185">EOMONTH(K239,12)</f>
        <v>47483</v>
      </c>
      <c r="M239" s="43">
        <f t="shared" ref="M239" si="186">EOMONTH(L239,12)</f>
        <v>47848</v>
      </c>
    </row>
    <row r="241" spans="2:13" x14ac:dyDescent="0.25">
      <c r="C241" t="s">
        <v>205</v>
      </c>
      <c r="E241" s="28"/>
      <c r="F241" s="28"/>
      <c r="G241" s="28"/>
      <c r="H241" s="28"/>
      <c r="I241" s="28">
        <f t="shared" ref="I241:M241" si="187">H243</f>
        <v>-11512</v>
      </c>
      <c r="J241" s="28">
        <f t="shared" ca="1" si="187"/>
        <v>-11989.395663902185</v>
      </c>
      <c r="K241" s="28">
        <f t="shared" ca="1" si="187"/>
        <v>-11049.453826734691</v>
      </c>
      <c r="L241" s="28">
        <f t="shared" ca="1" si="187"/>
        <v>-9772.3417283163144</v>
      </c>
      <c r="M241" s="28">
        <f t="shared" ca="1" si="187"/>
        <v>-8167.0711282966331</v>
      </c>
    </row>
    <row r="242" spans="2:13" x14ac:dyDescent="0.25">
      <c r="C242" s="1" t="s">
        <v>250</v>
      </c>
      <c r="D242" s="1"/>
      <c r="E242" s="29"/>
      <c r="F242" s="29"/>
      <c r="G242" s="29"/>
      <c r="H242" s="29"/>
      <c r="I242" s="29">
        <f ca="1">I31</f>
        <v>-477.39566390218528</v>
      </c>
      <c r="J242" s="29">
        <f ca="1">J31</f>
        <v>939.9418371674941</v>
      </c>
      <c r="K242" s="29">
        <f ca="1">K31</f>
        <v>1277.1120984183758</v>
      </c>
      <c r="L242" s="29">
        <f ca="1">L31</f>
        <v>1605.2706000196808</v>
      </c>
      <c r="M242" s="29">
        <f ca="1">M31</f>
        <v>1775.7290042695256</v>
      </c>
    </row>
    <row r="243" spans="2:13" x14ac:dyDescent="0.25">
      <c r="C243" s="58" t="s">
        <v>207</v>
      </c>
      <c r="D243" s="60"/>
      <c r="E243" s="60"/>
      <c r="F243" s="60"/>
      <c r="G243" s="60"/>
      <c r="H243" s="60">
        <f>H81</f>
        <v>-11512</v>
      </c>
      <c r="I243" s="60">
        <f ca="1">SUM(I241:I242)</f>
        <v>-11989.395663902185</v>
      </c>
      <c r="J243" s="60">
        <f ca="1">SUM(J241:J242)</f>
        <v>-11049.453826734691</v>
      </c>
      <c r="K243" s="60">
        <f ca="1">SUM(K241:K242)</f>
        <v>-9772.3417283163144</v>
      </c>
      <c r="L243" s="60">
        <f ca="1">SUM(L241:L242)</f>
        <v>-8167.0711282966331</v>
      </c>
      <c r="M243" s="60">
        <f ca="1">SUM(M241:M242)</f>
        <v>-6391.3421240271073</v>
      </c>
    </row>
    <row r="244" spans="2:13" x14ac:dyDescent="0.25">
      <c r="E244" s="28"/>
    </row>
    <row r="246" spans="2:13" x14ac:dyDescent="0.25">
      <c r="B246" t="s">
        <v>129</v>
      </c>
      <c r="C246" s="14" t="s">
        <v>210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5"/>
    </row>
    <row r="247" spans="2:13" x14ac:dyDescent="0.25">
      <c r="C247" s="40" t="s">
        <v>103</v>
      </c>
      <c r="D247" s="41">
        <v>2021</v>
      </c>
      <c r="E247" s="41">
        <v>2022</v>
      </c>
      <c r="F247" s="41">
        <v>2023</v>
      </c>
      <c r="G247" s="41">
        <v>2024</v>
      </c>
      <c r="H247" s="41">
        <v>2025</v>
      </c>
      <c r="I247" s="42">
        <v>2026</v>
      </c>
      <c r="J247" s="42">
        <v>2027</v>
      </c>
      <c r="K247" s="42">
        <v>2028</v>
      </c>
      <c r="L247" s="42">
        <v>2029</v>
      </c>
      <c r="M247" s="42">
        <v>2030</v>
      </c>
    </row>
    <row r="248" spans="2:13" x14ac:dyDescent="0.25">
      <c r="C248" s="18" t="s">
        <v>104</v>
      </c>
      <c r="D248" s="43">
        <v>44561</v>
      </c>
      <c r="E248" s="43">
        <f>EOMONTH(D248,12)</f>
        <v>44926</v>
      </c>
      <c r="F248" s="43">
        <f t="shared" ref="F248" si="188">EOMONTH(E248,12)</f>
        <v>45291</v>
      </c>
      <c r="G248" s="43">
        <f t="shared" ref="G248" si="189">EOMONTH(F248,12)</f>
        <v>45657</v>
      </c>
      <c r="H248" s="43">
        <f t="shared" ref="H248" si="190">EOMONTH(G248,12)</f>
        <v>46022</v>
      </c>
      <c r="I248" s="43">
        <f t="shared" ref="I248" si="191">EOMONTH(H248,12)</f>
        <v>46387</v>
      </c>
      <c r="J248" s="43">
        <f t="shared" ref="J248" si="192">EOMONTH(I248,12)</f>
        <v>46752</v>
      </c>
      <c r="K248" s="43">
        <f t="shared" ref="K248" si="193">EOMONTH(J248,12)</f>
        <v>47118</v>
      </c>
      <c r="L248" s="43">
        <f t="shared" ref="L248" si="194">EOMONTH(K248,12)</f>
        <v>47483</v>
      </c>
      <c r="M248" s="43">
        <f t="shared" ref="M248" si="195">EOMONTH(L248,12)</f>
        <v>47848</v>
      </c>
    </row>
    <row r="250" spans="2:13" x14ac:dyDescent="0.25">
      <c r="C250" s="66" t="s">
        <v>79</v>
      </c>
      <c r="D250" s="28">
        <f>D31</f>
        <v>1006</v>
      </c>
      <c r="E250" s="28">
        <f>E31</f>
        <v>-7371</v>
      </c>
      <c r="F250" s="28">
        <f>F31</f>
        <v>-3126</v>
      </c>
      <c r="G250" s="28">
        <f>G31</f>
        <v>-11311</v>
      </c>
      <c r="H250" s="28">
        <f>H31</f>
        <v>727</v>
      </c>
      <c r="I250" s="28">
        <f ca="1">I31</f>
        <v>-477.39566390218528</v>
      </c>
      <c r="J250" s="28">
        <f ca="1">J31</f>
        <v>939.9418371674941</v>
      </c>
      <c r="K250" s="28">
        <f ca="1">K31</f>
        <v>1277.1120984183758</v>
      </c>
      <c r="L250" s="28">
        <f ca="1">L31</f>
        <v>1605.2706000196808</v>
      </c>
      <c r="M250" s="28">
        <f ca="1">M31</f>
        <v>1775.7290042695256</v>
      </c>
    </row>
    <row r="251" spans="2:13" x14ac:dyDescent="0.25">
      <c r="C251" s="66" t="s">
        <v>251</v>
      </c>
      <c r="D251" s="32">
        <v>588</v>
      </c>
      <c r="E251" s="32">
        <v>1940</v>
      </c>
      <c r="F251" s="32">
        <v>2436</v>
      </c>
      <c r="G251" s="32">
        <v>2450</v>
      </c>
      <c r="H251" s="32">
        <v>2475</v>
      </c>
      <c r="I251" s="28">
        <f>AVERAGE($D$7,$D$7+I257/H258)</f>
        <v>2493.3196477919691</v>
      </c>
      <c r="J251" s="28">
        <f ca="1">AVERAGE($D$7,$D$7+J257/I258)</f>
        <v>2459.1607056228659</v>
      </c>
      <c r="K251" s="28">
        <f ca="1">AVERAGE($D$7,$D$7+K257/J258)</f>
        <v>2490.6489318540735</v>
      </c>
      <c r="L251" s="28">
        <f ca="1">AVERAGE($D$7,$D$7+L257/K258)</f>
        <v>2487.8355117606484</v>
      </c>
      <c r="M251" s="28">
        <f ca="1">AVERAGE($D$7,$D$7+M257/L258)</f>
        <v>2486.302245005435</v>
      </c>
    </row>
    <row r="252" spans="2:13" x14ac:dyDescent="0.25">
      <c r="C252" s="66" t="s">
        <v>124</v>
      </c>
      <c r="D252" s="34">
        <v>1.55</v>
      </c>
      <c r="E252" s="34">
        <v>-3.82</v>
      </c>
      <c r="F252" s="34">
        <v>-1.28</v>
      </c>
      <c r="G252" s="34">
        <v>-4.62</v>
      </c>
      <c r="H252" s="34">
        <v>0.28999999999999998</v>
      </c>
      <c r="I252" s="31">
        <f ca="1">I250/I251</f>
        <v>-0.19146990010885959</v>
      </c>
      <c r="J252" s="31">
        <f t="shared" ref="J252:M252" ca="1" si="196">J250/J251</f>
        <v>0.38222058241997731</v>
      </c>
      <c r="K252" s="31">
        <f t="shared" ca="1" si="196"/>
        <v>0.51276279128896574</v>
      </c>
      <c r="L252" s="31">
        <f t="shared" ca="1" si="196"/>
        <v>0.64524788412704437</v>
      </c>
      <c r="M252" s="31">
        <f t="shared" ca="1" si="196"/>
        <v>0.71420480266897068</v>
      </c>
    </row>
    <row r="253" spans="2:13" x14ac:dyDescent="0.25">
      <c r="C253" s="66"/>
    </row>
    <row r="254" spans="2:13" x14ac:dyDescent="0.25">
      <c r="C254" s="66" t="s">
        <v>252</v>
      </c>
      <c r="D254" s="32">
        <v>664</v>
      </c>
      <c r="E254" s="32">
        <v>1940</v>
      </c>
      <c r="F254" s="32">
        <v>2436</v>
      </c>
      <c r="G254" s="32">
        <v>2450</v>
      </c>
      <c r="H254" s="93">
        <f>Shares!G31</f>
        <v>2588.2357923722625</v>
      </c>
      <c r="I254" s="28">
        <f>I251+H254-H251</f>
        <v>2606.5554401642312</v>
      </c>
      <c r="J254" s="28">
        <f t="shared" ref="J254:M254" ca="1" si="197">J251+I254-I251</f>
        <v>2572.3964979951279</v>
      </c>
      <c r="K254" s="28">
        <f t="shared" ca="1" si="197"/>
        <v>2603.8847242263355</v>
      </c>
      <c r="L254" s="28">
        <f t="shared" ca="1" si="197"/>
        <v>2601.0713041329109</v>
      </c>
      <c r="M254" s="28">
        <f t="shared" ca="1" si="197"/>
        <v>2599.5380373776975</v>
      </c>
    </row>
    <row r="255" spans="2:13" x14ac:dyDescent="0.25">
      <c r="C255" s="66" t="s">
        <v>125</v>
      </c>
      <c r="D255" s="34">
        <v>1.54</v>
      </c>
      <c r="E255" s="34">
        <v>-3.82</v>
      </c>
      <c r="F255" s="34">
        <v>-1.28</v>
      </c>
      <c r="G255" s="34">
        <v>-4.62</v>
      </c>
      <c r="H255" s="34">
        <v>0.28999999999999998</v>
      </c>
      <c r="I255" s="31">
        <f ca="1">I250/I254</f>
        <v>-0.18315193168195418</v>
      </c>
      <c r="J255" s="31">
        <f t="shared" ref="J255:M255" ca="1" si="198">J250/J254</f>
        <v>0.36539539604414217</v>
      </c>
      <c r="K255" s="31">
        <f t="shared" ca="1" si="198"/>
        <v>0.4904641463334482</v>
      </c>
      <c r="L255" s="31">
        <f t="shared" ca="1" si="198"/>
        <v>0.61715747564052703</v>
      </c>
      <c r="M255" s="31">
        <f t="shared" ca="1" si="198"/>
        <v>0.68309406469035738</v>
      </c>
    </row>
    <row r="256" spans="2:13" x14ac:dyDescent="0.25">
      <c r="C256" s="66"/>
    </row>
    <row r="257" spans="3:13" x14ac:dyDescent="0.25">
      <c r="C257" s="66" t="s">
        <v>254</v>
      </c>
      <c r="H257" s="28">
        <f>H40</f>
        <v>769</v>
      </c>
      <c r="I257" s="28">
        <f>I40</f>
        <v>771.80725412912909</v>
      </c>
      <c r="J257" s="28">
        <f>J40</f>
        <v>786.10332207207193</v>
      </c>
      <c r="K257" s="28">
        <f>K40</f>
        <v>798.84349286786778</v>
      </c>
      <c r="L257" s="28">
        <f>L40</f>
        <v>800.5255772737022</v>
      </c>
      <c r="M257" s="28">
        <f>M40</f>
        <v>811.07932700557683</v>
      </c>
    </row>
    <row r="258" spans="3:13" x14ac:dyDescent="0.25">
      <c r="C258" s="66" t="s">
        <v>255</v>
      </c>
      <c r="H258" s="34">
        <v>28.82</v>
      </c>
      <c r="I258" s="31">
        <f ca="1">H258*(1+I259)</f>
        <v>-18.925093581376863</v>
      </c>
      <c r="J258" s="31">
        <f t="shared" ref="J258:M258" ca="1" si="199">I258*(1+J259)</f>
        <v>37.261518221688007</v>
      </c>
      <c r="K258" s="31">
        <f t="shared" ca="1" si="199"/>
        <v>50.627745084480871</v>
      </c>
      <c r="L258" s="31">
        <f t="shared" ca="1" si="199"/>
        <v>63.636724473957649</v>
      </c>
      <c r="M258" s="31">
        <f t="shared" ca="1" si="199"/>
        <v>70.394098903779565</v>
      </c>
    </row>
    <row r="259" spans="3:13" x14ac:dyDescent="0.25">
      <c r="C259" s="66" t="s">
        <v>256</v>
      </c>
      <c r="I259" s="51">
        <f ca="1">I31/H31-1</f>
        <v>-1.6566652873482604</v>
      </c>
      <c r="J259" s="51">
        <f ca="1">J31/I31-1</f>
        <v>-2.9688947936487353</v>
      </c>
      <c r="K259" s="51">
        <f ca="1">K31/J31-1</f>
        <v>0.35871396284151058</v>
      </c>
      <c r="L259" s="51">
        <f ca="1">L31/K31-1</f>
        <v>0.2569535610912379</v>
      </c>
      <c r="M259" s="51">
        <f ca="1">M31/L31-1</f>
        <v>0.1061867103575902</v>
      </c>
    </row>
    <row r="261" spans="3:13" x14ac:dyDescent="0.25">
      <c r="C261" s="66" t="s">
        <v>297</v>
      </c>
      <c r="H261" s="108">
        <v>0.28999999999999998</v>
      </c>
      <c r="I261" s="108">
        <v>-0.1</v>
      </c>
      <c r="J261" s="108">
        <v>-0.02</v>
      </c>
      <c r="K261" s="108">
        <v>0.4</v>
      </c>
      <c r="L261" s="108">
        <v>0.68</v>
      </c>
      <c r="M261" s="108">
        <v>0.42</v>
      </c>
    </row>
  </sheetData>
  <dataValidations count="3">
    <dataValidation type="list" allowBlank="1" showInputMessage="1" showErrorMessage="1" sqref="D5" xr:uid="{CF4C6C43-785C-4713-B0CF-07730AEE4B90}">
      <formula1>"0,1"</formula1>
    </dataValidation>
    <dataValidation type="list" allowBlank="1" showInputMessage="1" showErrorMessage="1" sqref="D128 D138 D148 D158 D168" xr:uid="{BD0A01D2-13DC-4A31-B8C9-C93FBDB79FBF}">
      <formula1>"1,2"</formula1>
    </dataValidation>
    <dataValidation type="list" allowBlank="1" showInputMessage="1" showErrorMessage="1" sqref="D193" xr:uid="{0793916B-CB1D-42EC-9200-A5793A6D48CB}">
      <formula1>"0.5,1"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7875-82E7-49CB-A24F-E918CA260158}">
  <dimension ref="B2:M234"/>
  <sheetViews>
    <sheetView showGridLines="0" topLeftCell="A225" zoomScale="121" workbookViewId="0">
      <selection activeCell="C100" sqref="C100"/>
    </sheetView>
  </sheetViews>
  <sheetFormatPr defaultRowHeight="15" x14ac:dyDescent="0.25"/>
  <cols>
    <col min="1" max="2" width="2.140625" customWidth="1"/>
    <col min="3" max="3" width="61.42578125" customWidth="1"/>
    <col min="4" max="13" width="14.42578125" customWidth="1"/>
  </cols>
  <sheetData>
    <row r="2" spans="2:13" ht="19.5" x14ac:dyDescent="0.3">
      <c r="C2" s="22" t="s">
        <v>174</v>
      </c>
      <c r="D2" s="23"/>
      <c r="E2" s="23"/>
      <c r="F2" s="23"/>
      <c r="G2" s="23"/>
      <c r="H2" s="23"/>
      <c r="I2" s="23"/>
      <c r="J2" s="23"/>
      <c r="K2" s="23"/>
      <c r="L2" s="23"/>
      <c r="M2" s="24"/>
    </row>
    <row r="3" spans="2:13" x14ac:dyDescent="0.25">
      <c r="C3" s="25" t="s">
        <v>101</v>
      </c>
      <c r="D3" s="13"/>
      <c r="E3" s="13"/>
      <c r="F3" s="13"/>
      <c r="G3" s="13"/>
      <c r="H3" s="13"/>
      <c r="I3" s="13"/>
      <c r="J3" s="13"/>
      <c r="K3" s="13"/>
      <c r="L3" s="13"/>
      <c r="M3" s="26"/>
    </row>
    <row r="5" spans="2:13" x14ac:dyDescent="0.25">
      <c r="C5" s="64" t="s">
        <v>215</v>
      </c>
      <c r="D5" s="76">
        <v>1</v>
      </c>
    </row>
    <row r="6" spans="2:13" x14ac:dyDescent="0.25">
      <c r="C6" s="75" t="s">
        <v>102</v>
      </c>
      <c r="D6" s="140">
        <f>'M&amp;A'!D13</f>
        <v>46022</v>
      </c>
    </row>
    <row r="7" spans="2:13" x14ac:dyDescent="0.25">
      <c r="C7" s="75" t="s">
        <v>257</v>
      </c>
      <c r="D7" s="76">
        <v>4222.1621500000001</v>
      </c>
    </row>
    <row r="9" spans="2:13" x14ac:dyDescent="0.25">
      <c r="B9" t="s">
        <v>129</v>
      </c>
      <c r="C9" s="14" t="s">
        <v>105</v>
      </c>
      <c r="D9" s="16"/>
      <c r="E9" s="16"/>
      <c r="F9" s="16"/>
      <c r="G9" s="16"/>
      <c r="H9" s="16"/>
      <c r="I9" s="16"/>
      <c r="J9" s="16"/>
      <c r="K9" s="16"/>
      <c r="L9" s="16"/>
      <c r="M9" s="15"/>
    </row>
    <row r="10" spans="2:13" x14ac:dyDescent="0.25">
      <c r="C10" s="40" t="s">
        <v>103</v>
      </c>
      <c r="D10" s="41">
        <v>2021</v>
      </c>
      <c r="E10" s="41">
        <v>2022</v>
      </c>
      <c r="F10" s="41">
        <v>2023</v>
      </c>
      <c r="G10" s="41">
        <v>2024</v>
      </c>
      <c r="H10" s="41">
        <v>2025</v>
      </c>
      <c r="I10" s="42">
        <v>2026</v>
      </c>
      <c r="J10" s="42">
        <v>2027</v>
      </c>
      <c r="K10" s="42">
        <v>2028</v>
      </c>
      <c r="L10" s="42">
        <v>2029</v>
      </c>
      <c r="M10" s="42">
        <v>2030</v>
      </c>
    </row>
    <row r="11" spans="2:13" x14ac:dyDescent="0.25">
      <c r="C11" s="18" t="s">
        <v>104</v>
      </c>
      <c r="D11" s="43">
        <v>44561</v>
      </c>
      <c r="E11" s="43">
        <f>EOMONTH(D11,12)</f>
        <v>44926</v>
      </c>
      <c r="F11" s="43">
        <f t="shared" ref="F11:M11" si="0">EOMONTH(E11,12)</f>
        <v>45291</v>
      </c>
      <c r="G11" s="43">
        <f t="shared" si="0"/>
        <v>45657</v>
      </c>
      <c r="H11" s="43">
        <f t="shared" si="0"/>
        <v>46022</v>
      </c>
      <c r="I11" s="43">
        <f t="shared" si="0"/>
        <v>46387</v>
      </c>
      <c r="J11" s="43">
        <f t="shared" si="0"/>
        <v>46752</v>
      </c>
      <c r="K11" s="43">
        <f t="shared" si="0"/>
        <v>47118</v>
      </c>
      <c r="L11" s="43">
        <f t="shared" si="0"/>
        <v>47483</v>
      </c>
      <c r="M11" s="43">
        <f t="shared" si="0"/>
        <v>47848</v>
      </c>
    </row>
    <row r="13" spans="2:13" x14ac:dyDescent="0.25">
      <c r="C13" t="s">
        <v>106</v>
      </c>
      <c r="D13" s="32">
        <v>29697.844000000001</v>
      </c>
      <c r="E13" s="32">
        <v>31615.55</v>
      </c>
      <c r="F13" s="32">
        <v>33723.296999999999</v>
      </c>
      <c r="G13" s="32">
        <v>39000.966</v>
      </c>
      <c r="H13" s="32">
        <v>45183.036</v>
      </c>
      <c r="I13" s="32">
        <v>51365.94</v>
      </c>
      <c r="J13" s="32">
        <v>57402.33</v>
      </c>
      <c r="K13" s="32">
        <v>63205.96</v>
      </c>
      <c r="L13" s="32">
        <v>69022.09</v>
      </c>
      <c r="M13" s="32">
        <v>74516.56</v>
      </c>
    </row>
    <row r="14" spans="2:13" x14ac:dyDescent="0.25">
      <c r="C14" s="1" t="s">
        <v>107</v>
      </c>
      <c r="D14" s="33">
        <v>-17332.683000000001</v>
      </c>
      <c r="E14" s="33">
        <v>-19168.285</v>
      </c>
      <c r="F14" s="33">
        <v>-19715.367999999999</v>
      </c>
      <c r="G14" s="33">
        <v>-21038.464</v>
      </c>
      <c r="H14" s="33">
        <v>-23275.329000000002</v>
      </c>
      <c r="I14" s="29">
        <f>I15-I13</f>
        <v>-25421.003706000003</v>
      </c>
      <c r="J14" s="29">
        <f t="shared" ref="J14:M14" si="1">J15-J13</f>
        <v>-27650.702361000003</v>
      </c>
      <c r="K14" s="29">
        <f t="shared" si="1"/>
        <v>-29580.389279999996</v>
      </c>
      <c r="L14" s="29">
        <f t="shared" si="1"/>
        <v>-31694.943728000006</v>
      </c>
      <c r="M14" s="29">
        <f t="shared" si="1"/>
        <v>-33249.289072</v>
      </c>
    </row>
    <row r="15" spans="2:13" x14ac:dyDescent="0.25">
      <c r="C15" s="2" t="s">
        <v>108</v>
      </c>
      <c r="D15" s="60">
        <f>SUM(D13:D14)</f>
        <v>12365.161</v>
      </c>
      <c r="E15" s="60">
        <f>SUM(E13:E14)</f>
        <v>12447.264999999999</v>
      </c>
      <c r="F15" s="60">
        <f t="shared" ref="F15:H15" si="2">SUM(F13:F14)</f>
        <v>14007.929</v>
      </c>
      <c r="G15" s="60">
        <f t="shared" si="2"/>
        <v>17962.502</v>
      </c>
      <c r="H15" s="60">
        <f t="shared" si="2"/>
        <v>21907.706999999999</v>
      </c>
      <c r="I15" s="60">
        <f>I13*I42</f>
        <v>25944.936293999999</v>
      </c>
      <c r="J15" s="60">
        <f t="shared" ref="J15:M15" si="3">J13*J42</f>
        <v>29751.627638999998</v>
      </c>
      <c r="K15" s="60">
        <f t="shared" si="3"/>
        <v>33625.570720000003</v>
      </c>
      <c r="L15" s="60">
        <f t="shared" si="3"/>
        <v>37327.146271999991</v>
      </c>
      <c r="M15" s="60">
        <f t="shared" si="3"/>
        <v>41267.270927999998</v>
      </c>
    </row>
    <row r="16" spans="2:13" x14ac:dyDescent="0.25">
      <c r="C16" t="s">
        <v>160</v>
      </c>
      <c r="D16" s="32">
        <v>-2545.1460000000002</v>
      </c>
      <c r="E16" s="32">
        <v>-2530.502</v>
      </c>
      <c r="F16" s="32">
        <v>-2657.8829999999998</v>
      </c>
      <c r="G16" s="32">
        <v>-2917.5540000000001</v>
      </c>
      <c r="H16" s="32">
        <v>-3301.306</v>
      </c>
      <c r="I16" s="28">
        <f>I$13*-I44</f>
        <v>-3753.0609036019628</v>
      </c>
      <c r="J16" s="28">
        <f t="shared" ref="J16:M16" si="4">J$13*-J44</f>
        <v>-4194.1107375560159</v>
      </c>
      <c r="K16" s="28">
        <f t="shared" si="4"/>
        <v>-4618.1539236044255</v>
      </c>
      <c r="L16" s="28">
        <f t="shared" si="4"/>
        <v>-5043.1104242207184</v>
      </c>
      <c r="M16" s="28">
        <f t="shared" si="4"/>
        <v>-5444.5647837245824</v>
      </c>
    </row>
    <row r="17" spans="3:13" x14ac:dyDescent="0.25">
      <c r="C17" t="s">
        <v>153</v>
      </c>
      <c r="D17" s="32">
        <v>-2273.8850000000002</v>
      </c>
      <c r="E17" s="32">
        <v>-2711.0410000000002</v>
      </c>
      <c r="F17" s="32">
        <v>-2675.7579999999998</v>
      </c>
      <c r="G17" s="32">
        <v>-2925.2950000000001</v>
      </c>
      <c r="H17" s="32">
        <v>-3391.39</v>
      </c>
      <c r="I17" s="28">
        <f t="shared" ref="I17:M17" si="5">I$13*-I45</f>
        <v>-3855.4721125114297</v>
      </c>
      <c r="J17" s="28">
        <f t="shared" si="5"/>
        <v>-4308.5570420433896</v>
      </c>
      <c r="K17" s="28">
        <f t="shared" si="5"/>
        <v>-4744.1712567610548</v>
      </c>
      <c r="L17" s="28">
        <f t="shared" si="5"/>
        <v>-5180.7237080106779</v>
      </c>
      <c r="M17" s="28">
        <f t="shared" si="5"/>
        <v>-5593.1327062307182</v>
      </c>
    </row>
    <row r="18" spans="3:13" x14ac:dyDescent="0.25">
      <c r="C18" t="s">
        <v>154</v>
      </c>
      <c r="D18" s="32">
        <v>-1351.6210000000001</v>
      </c>
      <c r="E18" s="32">
        <v>-1572.8910000000001</v>
      </c>
      <c r="F18" s="32">
        <v>-1720.2850000000001</v>
      </c>
      <c r="G18" s="32">
        <v>-1702.039</v>
      </c>
      <c r="H18" s="32">
        <v>-1888.4079999999999</v>
      </c>
      <c r="I18" s="28">
        <f t="shared" ref="I18:M18" si="6">I$13*-I46</f>
        <v>-2146.8201477988332</v>
      </c>
      <c r="J18" s="28">
        <f t="shared" si="6"/>
        <v>-2399.1087980595198</v>
      </c>
      <c r="K18" s="28">
        <f t="shared" si="6"/>
        <v>-2641.6693316420792</v>
      </c>
      <c r="L18" s="28">
        <f t="shared" si="6"/>
        <v>-2884.7522980244175</v>
      </c>
      <c r="M18" s="28">
        <f t="shared" si="6"/>
        <v>-3114.3916056566009</v>
      </c>
    </row>
    <row r="19" spans="3:13" x14ac:dyDescent="0.25">
      <c r="C19" s="27" t="s">
        <v>113</v>
      </c>
      <c r="D19" s="30">
        <f>SUM(D16:D18)</f>
        <v>-6170.652000000001</v>
      </c>
      <c r="E19" s="30">
        <f>SUM(E16:E18)</f>
        <v>-6814.4339999999993</v>
      </c>
      <c r="F19" s="30">
        <f t="shared" ref="F19:M19" si="7">SUM(F16:F18)</f>
        <v>-7053.9259999999995</v>
      </c>
      <c r="G19" s="30">
        <f t="shared" si="7"/>
        <v>-7544.8879999999999</v>
      </c>
      <c r="H19" s="30">
        <f t="shared" si="7"/>
        <v>-8581.1039999999994</v>
      </c>
      <c r="I19" s="30">
        <f t="shared" si="7"/>
        <v>-9755.3531639122266</v>
      </c>
      <c r="J19" s="30">
        <f t="shared" si="7"/>
        <v>-10901.776577658926</v>
      </c>
      <c r="K19" s="30">
        <f t="shared" si="7"/>
        <v>-12003.994512007559</v>
      </c>
      <c r="L19" s="30">
        <f t="shared" si="7"/>
        <v>-13108.586430255815</v>
      </c>
      <c r="M19" s="30">
        <f t="shared" si="7"/>
        <v>-14152.089095611902</v>
      </c>
    </row>
    <row r="20" spans="3:13" x14ac:dyDescent="0.25">
      <c r="C20" s="2" t="s">
        <v>114</v>
      </c>
      <c r="D20" s="60">
        <f>D15+D19</f>
        <v>6194.5089999999991</v>
      </c>
      <c r="E20" s="60">
        <f>E15+E19</f>
        <v>5632.8310000000001</v>
      </c>
      <c r="F20" s="60">
        <f t="shared" ref="F20:M20" si="8">F15+F19</f>
        <v>6954.0030000000006</v>
      </c>
      <c r="G20" s="60">
        <f t="shared" si="8"/>
        <v>10417.614000000001</v>
      </c>
      <c r="H20" s="60">
        <f t="shared" si="8"/>
        <v>13326.602999999999</v>
      </c>
      <c r="I20" s="60">
        <f t="shared" si="8"/>
        <v>16189.583130087773</v>
      </c>
      <c r="J20" s="60">
        <f t="shared" si="8"/>
        <v>18849.851061341073</v>
      </c>
      <c r="K20" s="60">
        <f t="shared" si="8"/>
        <v>21621.576207992446</v>
      </c>
      <c r="L20" s="60">
        <f t="shared" si="8"/>
        <v>24218.559841744176</v>
      </c>
      <c r="M20" s="60">
        <f t="shared" si="8"/>
        <v>27115.181832388094</v>
      </c>
    </row>
    <row r="21" spans="3:13" x14ac:dyDescent="0.25">
      <c r="C21" t="s">
        <v>115</v>
      </c>
      <c r="D21" s="32">
        <v>-765.62</v>
      </c>
      <c r="E21" s="32">
        <v>-706.21199999999999</v>
      </c>
      <c r="F21" s="32">
        <v>-699.82600000000002</v>
      </c>
      <c r="G21" s="32">
        <v>-718.73299999999995</v>
      </c>
      <c r="H21" s="32">
        <v>-776.51</v>
      </c>
      <c r="I21" s="28">
        <f>-I202</f>
        <v>-747.56515636611505</v>
      </c>
      <c r="J21" s="28">
        <f t="shared" ref="J21:M21" si="9">-J202</f>
        <v>-747.56515636611505</v>
      </c>
      <c r="K21" s="28">
        <f t="shared" si="9"/>
        <v>-747.56515636611505</v>
      </c>
      <c r="L21" s="28">
        <f t="shared" si="9"/>
        <v>-747.56515636611505</v>
      </c>
      <c r="M21" s="28">
        <f t="shared" si="9"/>
        <v>-747.56515636611505</v>
      </c>
    </row>
    <row r="22" spans="3:13" x14ac:dyDescent="0.25">
      <c r="C22" t="s">
        <v>249</v>
      </c>
      <c r="D22" s="32">
        <v>8.2140000000000004</v>
      </c>
      <c r="E22" s="32">
        <v>60</v>
      </c>
      <c r="F22" s="32">
        <v>281</v>
      </c>
      <c r="G22" s="32">
        <v>294</v>
      </c>
      <c r="H22" s="32">
        <v>295</v>
      </c>
      <c r="I22" s="28">
        <f ca="1">I205</f>
        <v>289.05817251625314</v>
      </c>
      <c r="J22" s="28">
        <f t="shared" ref="J22:M22" ca="1" si="10">J205</f>
        <v>332.4700597938126</v>
      </c>
      <c r="K22" s="28">
        <f t="shared" ca="1" si="10"/>
        <v>452.78896146188674</v>
      </c>
      <c r="L22" s="28">
        <f t="shared" ca="1" si="10"/>
        <v>646.31825766262148</v>
      </c>
      <c r="M22" s="28">
        <f t="shared" ca="1" si="10"/>
        <v>917.18146666667894</v>
      </c>
    </row>
    <row r="23" spans="3:13" x14ac:dyDescent="0.25">
      <c r="C23" t="s">
        <v>117</v>
      </c>
      <c r="D23" s="32">
        <v>403</v>
      </c>
      <c r="E23" s="32">
        <v>277.31</v>
      </c>
      <c r="F23" s="32">
        <v>-329.77199999999999</v>
      </c>
      <c r="G23" s="32">
        <v>-27.22399999999999</v>
      </c>
      <c r="H23" s="32">
        <v>-122.541</v>
      </c>
      <c r="I23" s="28">
        <f>AVERAGE(D23:H23)</f>
        <v>40.154599999999995</v>
      </c>
      <c r="J23" s="28">
        <f>I23</f>
        <v>40.154599999999995</v>
      </c>
      <c r="K23" s="28">
        <f t="shared" ref="K23:M23" si="11">J23</f>
        <v>40.154599999999995</v>
      </c>
      <c r="L23" s="28">
        <f t="shared" si="11"/>
        <v>40.154599999999995</v>
      </c>
      <c r="M23" s="28">
        <f t="shared" si="11"/>
        <v>40.154599999999995</v>
      </c>
    </row>
    <row r="24" spans="3:13" x14ac:dyDescent="0.25">
      <c r="C24" s="27" t="s">
        <v>118</v>
      </c>
      <c r="D24" s="30">
        <f>SUM(D21:D23)</f>
        <v>-354.40599999999995</v>
      </c>
      <c r="E24" s="30">
        <f>SUM(E21:E23)</f>
        <v>-368.90199999999999</v>
      </c>
      <c r="F24" s="30">
        <f t="shared" ref="F24:M24" si="12">SUM(F21:F23)</f>
        <v>-748.59799999999996</v>
      </c>
      <c r="G24" s="30">
        <f t="shared" si="12"/>
        <v>-451.95699999999994</v>
      </c>
      <c r="H24" s="30">
        <f t="shared" si="12"/>
        <v>-604.05099999999993</v>
      </c>
      <c r="I24" s="30">
        <f t="shared" ca="1" si="12"/>
        <v>-418.35238384986189</v>
      </c>
      <c r="J24" s="30">
        <f t="shared" ca="1" si="12"/>
        <v>-374.94049657230244</v>
      </c>
      <c r="K24" s="30">
        <f t="shared" ca="1" si="12"/>
        <v>-254.62159490422832</v>
      </c>
      <c r="L24" s="30">
        <f t="shared" ca="1" si="12"/>
        <v>-61.092298703493576</v>
      </c>
      <c r="M24" s="30">
        <f t="shared" ca="1" si="12"/>
        <v>209.77091030056388</v>
      </c>
    </row>
    <row r="25" spans="3:13" x14ac:dyDescent="0.25">
      <c r="C25" t="s">
        <v>119</v>
      </c>
      <c r="D25" s="28">
        <f>D20+D24</f>
        <v>5840.1029999999992</v>
      </c>
      <c r="E25" s="28">
        <f>E20+E24</f>
        <v>5263.9290000000001</v>
      </c>
      <c r="F25" s="28">
        <f t="shared" ref="F25:M25" si="13">F20+F24</f>
        <v>6205.4050000000007</v>
      </c>
      <c r="G25" s="28">
        <f t="shared" si="13"/>
        <v>9965.6570000000011</v>
      </c>
      <c r="H25" s="28">
        <f t="shared" si="13"/>
        <v>12722.552</v>
      </c>
      <c r="I25" s="28">
        <f t="shared" ca="1" si="13"/>
        <v>15771.23074623791</v>
      </c>
      <c r="J25" s="28">
        <f t="shared" ca="1" si="13"/>
        <v>18474.910564768768</v>
      </c>
      <c r="K25" s="28">
        <f t="shared" ca="1" si="13"/>
        <v>21366.954613088219</v>
      </c>
      <c r="L25" s="28">
        <f t="shared" ca="1" si="13"/>
        <v>24157.467543040682</v>
      </c>
      <c r="M25" s="28">
        <f t="shared" ca="1" si="13"/>
        <v>27324.95274268866</v>
      </c>
    </row>
    <row r="26" spans="3:13" x14ac:dyDescent="0.25">
      <c r="C26" s="1" t="s">
        <v>120</v>
      </c>
      <c r="D26" s="33">
        <v>-723.875</v>
      </c>
      <c r="E26" s="33">
        <v>-772.005</v>
      </c>
      <c r="F26" s="33">
        <v>-797.41499999999996</v>
      </c>
      <c r="G26" s="33">
        <v>-1254.0260000000001</v>
      </c>
      <c r="H26" s="33">
        <v>-1741.3510000000001</v>
      </c>
      <c r="I26" s="29">
        <f ca="1">-I48*I25</f>
        <v>-2234.7833967419119</v>
      </c>
      <c r="J26" s="29">
        <f ca="1">-J48*J25</f>
        <v>-2593.8774432935352</v>
      </c>
      <c r="K26" s="29">
        <f ca="1">-K48*K25</f>
        <v>-3205.0431919632329</v>
      </c>
      <c r="L26" s="29">
        <f ca="1">-L48*L25</f>
        <v>-3824.1271120633401</v>
      </c>
      <c r="M26" s="29">
        <f ca="1">-M48*M25</f>
        <v>-4508.617202543629</v>
      </c>
    </row>
    <row r="27" spans="3:13" x14ac:dyDescent="0.25">
      <c r="C27" s="2" t="s">
        <v>79</v>
      </c>
      <c r="D27" s="60">
        <f>SUM(D25:D26)</f>
        <v>5116.2279999999992</v>
      </c>
      <c r="E27" s="60">
        <f>SUM(E25:E26)</f>
        <v>4491.924</v>
      </c>
      <c r="F27" s="60">
        <f t="shared" ref="F27:M27" si="14">SUM(F25:F26)</f>
        <v>5407.9900000000007</v>
      </c>
      <c r="G27" s="60">
        <f t="shared" si="14"/>
        <v>8711.6310000000012</v>
      </c>
      <c r="H27" s="60">
        <f t="shared" si="14"/>
        <v>10981.200999999999</v>
      </c>
      <c r="I27" s="60">
        <f t="shared" ca="1" si="14"/>
        <v>13536.447349495998</v>
      </c>
      <c r="J27" s="60">
        <f t="shared" ca="1" si="14"/>
        <v>15881.033121475233</v>
      </c>
      <c r="K27" s="60">
        <f t="shared" ca="1" si="14"/>
        <v>18161.911421124987</v>
      </c>
      <c r="L27" s="60">
        <f t="shared" ca="1" si="14"/>
        <v>20333.340430977343</v>
      </c>
      <c r="M27" s="60">
        <f t="shared" ca="1" si="14"/>
        <v>22816.335540145032</v>
      </c>
    </row>
    <row r="29" spans="3:13" x14ac:dyDescent="0.25">
      <c r="C29" t="s">
        <v>124</v>
      </c>
      <c r="D29" s="34">
        <v>11.55</v>
      </c>
      <c r="E29" s="34">
        <v>10.1</v>
      </c>
      <c r="F29" s="34">
        <v>1.22</v>
      </c>
      <c r="G29" s="34">
        <v>2.0299999999999998</v>
      </c>
      <c r="H29" s="34">
        <v>2.58</v>
      </c>
      <c r="I29" s="31">
        <f ca="1">I224</f>
        <v>3.2349104163509077</v>
      </c>
      <c r="J29" s="31">
        <f t="shared" ref="J29:M29" ca="1" si="15">J224</f>
        <v>3.7900124517998659</v>
      </c>
      <c r="K29" s="31">
        <f t="shared" ca="1" si="15"/>
        <v>4.3300432176347741</v>
      </c>
      <c r="L29" s="31">
        <f t="shared" ca="1" si="15"/>
        <v>4.8441585931445585</v>
      </c>
      <c r="M29" s="31">
        <f t="shared" ca="1" si="15"/>
        <v>5.4320779398815491</v>
      </c>
    </row>
    <row r="30" spans="3:13" x14ac:dyDescent="0.25">
      <c r="C30" t="s">
        <v>125</v>
      </c>
      <c r="D30" s="34">
        <v>11.24</v>
      </c>
      <c r="E30" s="34">
        <v>9.9499999999999993</v>
      </c>
      <c r="F30" s="34">
        <v>1.2</v>
      </c>
      <c r="G30" s="34">
        <v>1.98</v>
      </c>
      <c r="H30" s="34">
        <v>2.5299999999999998</v>
      </c>
      <c r="I30" s="31">
        <f ca="1">I227</f>
        <v>3.1926939443081284</v>
      </c>
      <c r="J30" s="31">
        <f t="shared" ref="J30:M30" ca="1" si="16">J227</f>
        <v>3.7406186551424736</v>
      </c>
      <c r="K30" s="31">
        <f t="shared" ca="1" si="16"/>
        <v>4.2736666783022281</v>
      </c>
      <c r="L30" s="31">
        <f t="shared" ca="1" si="16"/>
        <v>4.7811343473376846</v>
      </c>
      <c r="M30" s="31">
        <f t="shared" ca="1" si="16"/>
        <v>5.3614511383615806</v>
      </c>
    </row>
    <row r="31" spans="3:13" x14ac:dyDescent="0.25">
      <c r="D31" s="35"/>
      <c r="E31" s="35"/>
      <c r="F31" s="35"/>
      <c r="G31" s="35"/>
      <c r="H31" s="35"/>
    </row>
    <row r="32" spans="3:13" x14ac:dyDescent="0.25">
      <c r="C32" t="s">
        <v>126</v>
      </c>
      <c r="D32" s="32">
        <v>443.15499999999997</v>
      </c>
      <c r="E32" s="32">
        <v>444.69799999999998</v>
      </c>
      <c r="F32" s="32">
        <v>4415.7120000000004</v>
      </c>
      <c r="G32" s="32">
        <v>4295.1909999999998</v>
      </c>
      <c r="H32" s="32">
        <v>4249.5119999999997</v>
      </c>
      <c r="I32" s="28">
        <f ca="1">I223</f>
        <v>4184.4890915914712</v>
      </c>
      <c r="J32" s="28">
        <f t="shared" ref="J32:M32" ca="1" si="17">J223</f>
        <v>4190.2324394563339</v>
      </c>
      <c r="K32" s="28">
        <f t="shared" ca="1" si="17"/>
        <v>4194.3949536479868</v>
      </c>
      <c r="L32" s="28">
        <f t="shared" ca="1" si="17"/>
        <v>4197.4968490406236</v>
      </c>
      <c r="M32" s="28">
        <f t="shared" ca="1" si="17"/>
        <v>4200.2960547805687</v>
      </c>
    </row>
    <row r="33" spans="3:13" x14ac:dyDescent="0.25">
      <c r="C33" t="s">
        <v>127</v>
      </c>
      <c r="D33" s="32">
        <v>455.37200000000001</v>
      </c>
      <c r="E33" s="32">
        <v>451.29</v>
      </c>
      <c r="F33" s="32">
        <v>4494.9660000000003</v>
      </c>
      <c r="G33" s="32">
        <v>4392.6080000000002</v>
      </c>
      <c r="H33" s="32">
        <v>4343.8630000000003</v>
      </c>
      <c r="I33" s="28">
        <f ca="1">I226</f>
        <v>4239.8199093365993</v>
      </c>
      <c r="J33" s="28">
        <f t="shared" ref="J33:M33" ca="1" si="18">J226</f>
        <v>4245.563257201462</v>
      </c>
      <c r="K33" s="28">
        <f t="shared" ca="1" si="18"/>
        <v>4249.7257713931149</v>
      </c>
      <c r="L33" s="28">
        <f t="shared" ca="1" si="18"/>
        <v>4252.8276667857517</v>
      </c>
      <c r="M33" s="28">
        <f t="shared" ca="1" si="18"/>
        <v>4255.6268725256969</v>
      </c>
    </row>
    <row r="34" spans="3:13" x14ac:dyDescent="0.25">
      <c r="D34" s="32"/>
      <c r="E34" s="32"/>
      <c r="F34" s="32"/>
      <c r="G34" s="32"/>
      <c r="H34" s="32"/>
      <c r="I34" s="28"/>
      <c r="J34" s="28"/>
      <c r="K34" s="28"/>
      <c r="L34" s="28"/>
      <c r="M34" s="28"/>
    </row>
    <row r="35" spans="3:13" x14ac:dyDescent="0.25">
      <c r="C35" t="s">
        <v>110</v>
      </c>
      <c r="D35" s="57">
        <f>-D151-D178</f>
        <v>12438.779</v>
      </c>
      <c r="E35" s="57">
        <f t="shared" ref="E35:H35" si="19">-E151-E178</f>
        <v>14362.814</v>
      </c>
      <c r="F35" s="57">
        <f t="shared" si="19"/>
        <v>14554.384</v>
      </c>
      <c r="G35" s="57">
        <f t="shared" si="19"/>
        <v>15630.431</v>
      </c>
      <c r="H35" s="57">
        <f t="shared" si="19"/>
        <v>16755.555</v>
      </c>
      <c r="I35" s="57">
        <f t="shared" ref="I35:M35" si="20">-I151-I178</f>
        <v>19060.370931001347</v>
      </c>
      <c r="J35" s="57">
        <f t="shared" si="20"/>
        <v>21279.236361292187</v>
      </c>
      <c r="K35" s="57">
        <f t="shared" si="20"/>
        <v>23434.852546837781</v>
      </c>
      <c r="L35" s="57">
        <f t="shared" si="20"/>
        <v>25613.878518292007</v>
      </c>
      <c r="M35" s="57">
        <f t="shared" si="20"/>
        <v>27692.369475659576</v>
      </c>
    </row>
    <row r="36" spans="3:13" x14ac:dyDescent="0.25">
      <c r="C36" t="s">
        <v>171</v>
      </c>
      <c r="D36" s="57">
        <f>D20+D35</f>
        <v>18633.288</v>
      </c>
      <c r="E36" s="57">
        <f t="shared" ref="E36:H36" si="21">E20+E35</f>
        <v>19995.645</v>
      </c>
      <c r="F36" s="57">
        <f t="shared" si="21"/>
        <v>21508.387000000002</v>
      </c>
      <c r="G36" s="57">
        <f t="shared" si="21"/>
        <v>26048.045000000002</v>
      </c>
      <c r="H36" s="57">
        <f t="shared" si="21"/>
        <v>30082.157999999999</v>
      </c>
      <c r="I36" s="57">
        <f t="shared" ref="I36" si="22">I20+I35</f>
        <v>35249.95406108912</v>
      </c>
      <c r="J36" s="57">
        <f t="shared" ref="J36" si="23">J20+J35</f>
        <v>40129.08742263326</v>
      </c>
      <c r="K36" s="57">
        <f t="shared" ref="K36" si="24">K20+K35</f>
        <v>45056.428754830224</v>
      </c>
      <c r="L36" s="57">
        <f t="shared" ref="L36" si="25">L20+L35</f>
        <v>49832.438360036183</v>
      </c>
      <c r="M36" s="57">
        <f t="shared" ref="M36" si="26">M20+M35</f>
        <v>54807.551308047667</v>
      </c>
    </row>
    <row r="37" spans="3:13" x14ac:dyDescent="0.25">
      <c r="C37" t="s">
        <v>175</v>
      </c>
      <c r="D37" s="32">
        <v>403.22</v>
      </c>
      <c r="E37" s="32">
        <v>575.452</v>
      </c>
      <c r="F37" s="32">
        <v>339.36799999999999</v>
      </c>
      <c r="G37" s="32">
        <v>272.58800000000002</v>
      </c>
      <c r="H37" s="32">
        <v>368.44900000000001</v>
      </c>
      <c r="I37" s="28">
        <f>H37*(1+I41)</f>
        <v>418.86802885622825</v>
      </c>
      <c r="J37" s="28">
        <f t="shared" ref="J37:M37" si="27">I37*(1+J41)</f>
        <v>468.09229654620816</v>
      </c>
      <c r="K37" s="28">
        <f t="shared" si="27"/>
        <v>515.41850255569364</v>
      </c>
      <c r="L37" s="28">
        <f t="shared" si="27"/>
        <v>562.84664090323633</v>
      </c>
      <c r="M37" s="28">
        <f t="shared" si="27"/>
        <v>607.65177478202224</v>
      </c>
    </row>
    <row r="38" spans="3:13" x14ac:dyDescent="0.25">
      <c r="C38" t="s">
        <v>176</v>
      </c>
      <c r="D38" s="57">
        <f>SUM(D36:D37)</f>
        <v>19036.508000000002</v>
      </c>
      <c r="E38" s="57">
        <f t="shared" ref="E38:M38" si="28">SUM(E36:E37)</f>
        <v>20571.097000000002</v>
      </c>
      <c r="F38" s="57">
        <f t="shared" si="28"/>
        <v>21847.755000000001</v>
      </c>
      <c r="G38" s="57">
        <f t="shared" si="28"/>
        <v>26320.633000000002</v>
      </c>
      <c r="H38" s="57">
        <f t="shared" si="28"/>
        <v>30450.607</v>
      </c>
      <c r="I38" s="57">
        <f t="shared" si="28"/>
        <v>35668.822089945352</v>
      </c>
      <c r="J38" s="57">
        <f t="shared" si="28"/>
        <v>40597.179719179469</v>
      </c>
      <c r="K38" s="57">
        <f t="shared" si="28"/>
        <v>45571.847257385918</v>
      </c>
      <c r="L38" s="57">
        <f t="shared" si="28"/>
        <v>50395.285000939417</v>
      </c>
      <c r="M38" s="57">
        <f t="shared" si="28"/>
        <v>55415.203082829692</v>
      </c>
    </row>
    <row r="39" spans="3:13" x14ac:dyDescent="0.25">
      <c r="D39" s="32"/>
      <c r="E39" s="32"/>
      <c r="F39" s="32"/>
      <c r="G39" s="32"/>
      <c r="H39" s="32"/>
      <c r="I39" s="28"/>
      <c r="J39" s="28"/>
      <c r="K39" s="28"/>
      <c r="L39" s="28"/>
      <c r="M39" s="28"/>
    </row>
    <row r="40" spans="3:13" x14ac:dyDescent="0.25">
      <c r="C40" s="52" t="s">
        <v>177</v>
      </c>
      <c r="D40" s="33"/>
      <c r="E40" s="33"/>
      <c r="F40" s="33"/>
      <c r="G40" s="33"/>
      <c r="H40" s="33"/>
      <c r="I40" s="29"/>
      <c r="J40" s="29"/>
      <c r="K40" s="29"/>
      <c r="L40" s="29"/>
      <c r="M40" s="29"/>
    </row>
    <row r="41" spans="3:13" x14ac:dyDescent="0.25">
      <c r="C41" t="s">
        <v>178</v>
      </c>
      <c r="D41" s="54"/>
      <c r="E41" s="54">
        <f>E13/D13-1</f>
        <v>6.45739131769969E-2</v>
      </c>
      <c r="F41" s="54">
        <f t="shared" ref="F41:M41" si="29">F13/E13-1</f>
        <v>6.6668047843545297E-2</v>
      </c>
      <c r="G41" s="54">
        <f t="shared" si="29"/>
        <v>0.15649919994477424</v>
      </c>
      <c r="H41" s="54">
        <f t="shared" si="29"/>
        <v>0.15851068919677536</v>
      </c>
      <c r="I41" s="54">
        <f t="shared" si="29"/>
        <v>0.1368412693649006</v>
      </c>
      <c r="J41" s="54">
        <f t="shared" si="29"/>
        <v>0.11751736656624989</v>
      </c>
      <c r="K41" s="54">
        <f t="shared" si="29"/>
        <v>0.10110443252042201</v>
      </c>
      <c r="L41" s="54">
        <f t="shared" si="29"/>
        <v>9.201869570527843E-2</v>
      </c>
      <c r="M41" s="54">
        <f t="shared" si="29"/>
        <v>7.9604515018308009E-2</v>
      </c>
    </row>
    <row r="42" spans="3:13" x14ac:dyDescent="0.25">
      <c r="C42" t="s">
        <v>179</v>
      </c>
      <c r="D42" s="54">
        <f>D15/D13</f>
        <v>0.41636561226464791</v>
      </c>
      <c r="E42" s="54">
        <f t="shared" ref="E42:H42" si="30">E15/E13</f>
        <v>0.39370705238403253</v>
      </c>
      <c r="F42" s="54">
        <f t="shared" si="30"/>
        <v>0.41537839553469524</v>
      </c>
      <c r="G42" s="54">
        <f t="shared" si="30"/>
        <v>0.46056556650417324</v>
      </c>
      <c r="H42" s="54">
        <f t="shared" si="30"/>
        <v>0.48486575802475951</v>
      </c>
      <c r="I42" s="53">
        <v>0.50509999999999999</v>
      </c>
      <c r="J42" s="53">
        <v>0.51829999999999998</v>
      </c>
      <c r="K42" s="53">
        <v>0.53200000000000003</v>
      </c>
      <c r="L42" s="53">
        <v>0.54079999999999995</v>
      </c>
      <c r="M42" s="53">
        <v>0.55379999999999996</v>
      </c>
    </row>
    <row r="43" spans="3:13" x14ac:dyDescent="0.25">
      <c r="D43" s="54"/>
      <c r="E43" s="54"/>
      <c r="F43" s="54"/>
      <c r="G43" s="54"/>
      <c r="H43" s="54"/>
      <c r="I43" s="54"/>
      <c r="J43" s="54"/>
      <c r="K43" s="54"/>
      <c r="L43" s="54"/>
      <c r="M43" s="54"/>
    </row>
    <row r="44" spans="3:13" x14ac:dyDescent="0.25">
      <c r="C44" t="s">
        <v>260</v>
      </c>
      <c r="D44" s="54">
        <f>-D16/D13</f>
        <v>8.5701372799991821E-2</v>
      </c>
      <c r="E44" s="54">
        <f t="shared" ref="E44:H44" si="31">-E16/E13</f>
        <v>8.0039790546107853E-2</v>
      </c>
      <c r="F44" s="54">
        <f t="shared" si="31"/>
        <v>7.8814446879259759E-2</v>
      </c>
      <c r="G44" s="54">
        <f t="shared" si="31"/>
        <v>7.4807224005682321E-2</v>
      </c>
      <c r="H44" s="54">
        <f t="shared" si="31"/>
        <v>7.3065165430671819E-2</v>
      </c>
      <c r="I44" s="54">
        <f>H44</f>
        <v>7.3065165430671819E-2</v>
      </c>
      <c r="J44" s="54">
        <f t="shared" ref="J44:M44" si="32">I44</f>
        <v>7.3065165430671819E-2</v>
      </c>
      <c r="K44" s="54">
        <f t="shared" si="32"/>
        <v>7.3065165430671819E-2</v>
      </c>
      <c r="L44" s="54">
        <f t="shared" si="32"/>
        <v>7.3065165430671819E-2</v>
      </c>
      <c r="M44" s="54">
        <f t="shared" si="32"/>
        <v>7.3065165430671819E-2</v>
      </c>
    </row>
    <row r="45" spans="3:13" x14ac:dyDescent="0.25">
      <c r="C45" t="s">
        <v>261</v>
      </c>
      <c r="D45" s="54">
        <f>-D17/D13</f>
        <v>7.6567342733701485E-2</v>
      </c>
      <c r="E45" s="54">
        <f t="shared" ref="E45:H45" si="33">-E17/E13</f>
        <v>8.5750239992661847E-2</v>
      </c>
      <c r="F45" s="54">
        <f t="shared" si="33"/>
        <v>7.9344495883661673E-2</v>
      </c>
      <c r="G45" s="54">
        <f t="shared" si="33"/>
        <v>7.5005706268916519E-2</v>
      </c>
      <c r="H45" s="54">
        <f t="shared" si="33"/>
        <v>7.5058922556686974E-2</v>
      </c>
      <c r="I45" s="54">
        <f>H45</f>
        <v>7.5058922556686974E-2</v>
      </c>
      <c r="J45" s="54">
        <f t="shared" ref="J45:M45" si="34">I45</f>
        <v>7.5058922556686974E-2</v>
      </c>
      <c r="K45" s="54">
        <f t="shared" si="34"/>
        <v>7.5058922556686974E-2</v>
      </c>
      <c r="L45" s="54">
        <f t="shared" si="34"/>
        <v>7.5058922556686974E-2</v>
      </c>
      <c r="M45" s="54">
        <f t="shared" si="34"/>
        <v>7.5058922556686974E-2</v>
      </c>
    </row>
    <row r="46" spans="3:13" x14ac:dyDescent="0.25">
      <c r="C46" t="s">
        <v>262</v>
      </c>
      <c r="D46" s="54">
        <f>-D18/D13</f>
        <v>4.5512428444300534E-2</v>
      </c>
      <c r="E46" s="54">
        <f t="shared" ref="E46:H46" si="35">-E18/E13</f>
        <v>4.9750549966709426E-2</v>
      </c>
      <c r="F46" s="54">
        <f t="shared" si="35"/>
        <v>5.1011767918184278E-2</v>
      </c>
      <c r="G46" s="54">
        <f t="shared" si="35"/>
        <v>4.3640944688395668E-2</v>
      </c>
      <c r="H46" s="54">
        <f t="shared" si="35"/>
        <v>4.1794623982328236E-2</v>
      </c>
      <c r="I46" s="54">
        <f>H46</f>
        <v>4.1794623982328236E-2</v>
      </c>
      <c r="J46" s="54">
        <f t="shared" ref="J46:M46" si="36">I46</f>
        <v>4.1794623982328236E-2</v>
      </c>
      <c r="K46" s="54">
        <f t="shared" si="36"/>
        <v>4.1794623982328236E-2</v>
      </c>
      <c r="L46" s="54">
        <f t="shared" si="36"/>
        <v>4.1794623982328236E-2</v>
      </c>
      <c r="M46" s="54">
        <f t="shared" si="36"/>
        <v>4.1794623982328236E-2</v>
      </c>
    </row>
    <row r="47" spans="3:13" x14ac:dyDescent="0.25">
      <c r="D47" s="54"/>
      <c r="E47" s="54"/>
      <c r="F47" s="54"/>
      <c r="G47" s="54"/>
      <c r="H47" s="54"/>
      <c r="I47" s="54"/>
      <c r="J47" s="54"/>
      <c r="K47" s="54"/>
      <c r="L47" s="54"/>
      <c r="M47" s="54"/>
    </row>
    <row r="48" spans="3:13" x14ac:dyDescent="0.25">
      <c r="C48" t="s">
        <v>184</v>
      </c>
      <c r="D48" s="54">
        <f>-D26/D25</f>
        <v>0.12394901254310071</v>
      </c>
      <c r="E48" s="54">
        <f>-E26/E25</f>
        <v>0.14665946292208729</v>
      </c>
      <c r="F48" s="54">
        <f>-F26/F25</f>
        <v>0.12850329672277633</v>
      </c>
      <c r="G48" s="54">
        <f>-G26/G25</f>
        <v>0.12583475429668109</v>
      </c>
      <c r="H48" s="54">
        <f>-H26/H25</f>
        <v>0.1368712031988551</v>
      </c>
      <c r="I48" s="53">
        <v>0.14169999999999999</v>
      </c>
      <c r="J48" s="53">
        <v>0.1404</v>
      </c>
      <c r="K48" s="53">
        <v>0.15</v>
      </c>
      <c r="L48" s="53">
        <v>0.1583</v>
      </c>
      <c r="M48" s="53">
        <v>0.16500000000000001</v>
      </c>
    </row>
    <row r="49" spans="2:13" x14ac:dyDescent="0.25">
      <c r="D49" s="32"/>
      <c r="E49" s="32"/>
      <c r="F49" s="32"/>
      <c r="G49" s="32"/>
      <c r="H49" s="32"/>
      <c r="I49" s="28"/>
      <c r="J49" s="28"/>
      <c r="K49" s="28"/>
      <c r="L49" s="28"/>
      <c r="M49" s="28"/>
    </row>
    <row r="51" spans="2:13" x14ac:dyDescent="0.25">
      <c r="B51" t="s">
        <v>129</v>
      </c>
      <c r="C51" s="14" t="s">
        <v>128</v>
      </c>
      <c r="D51" s="16"/>
      <c r="E51" s="16"/>
      <c r="F51" s="16"/>
      <c r="G51" s="16"/>
      <c r="H51" s="16"/>
      <c r="I51" s="16"/>
      <c r="J51" s="16"/>
      <c r="K51" s="16"/>
      <c r="L51" s="16"/>
      <c r="M51" s="15"/>
    </row>
    <row r="52" spans="2:13" x14ac:dyDescent="0.25">
      <c r="C52" s="40" t="s">
        <v>103</v>
      </c>
      <c r="D52" s="41">
        <v>2021</v>
      </c>
      <c r="E52" s="41">
        <v>2022</v>
      </c>
      <c r="F52" s="41">
        <v>2023</v>
      </c>
      <c r="G52" s="41">
        <v>2024</v>
      </c>
      <c r="H52" s="41">
        <v>2025</v>
      </c>
      <c r="I52" s="42">
        <v>2026</v>
      </c>
      <c r="J52" s="42">
        <v>2027</v>
      </c>
      <c r="K52" s="42">
        <v>2028</v>
      </c>
      <c r="L52" s="42">
        <v>2029</v>
      </c>
      <c r="M52" s="42">
        <v>2030</v>
      </c>
    </row>
    <row r="53" spans="2:13" x14ac:dyDescent="0.25">
      <c r="C53" s="18" t="s">
        <v>104</v>
      </c>
      <c r="D53" s="43">
        <v>44561</v>
      </c>
      <c r="E53" s="43">
        <f>EOMONTH(D53,12)</f>
        <v>44926</v>
      </c>
      <c r="F53" s="43">
        <f t="shared" ref="F53:M53" si="37">EOMONTH(E53,12)</f>
        <v>45291</v>
      </c>
      <c r="G53" s="43">
        <f t="shared" si="37"/>
        <v>45657</v>
      </c>
      <c r="H53" s="43">
        <f t="shared" si="37"/>
        <v>46022</v>
      </c>
      <c r="I53" s="43">
        <f t="shared" si="37"/>
        <v>46387</v>
      </c>
      <c r="J53" s="43">
        <f t="shared" si="37"/>
        <v>46752</v>
      </c>
      <c r="K53" s="43">
        <f t="shared" si="37"/>
        <v>47118</v>
      </c>
      <c r="L53" s="43">
        <f t="shared" si="37"/>
        <v>47483</v>
      </c>
      <c r="M53" s="43">
        <f t="shared" si="37"/>
        <v>47848</v>
      </c>
    </row>
    <row r="55" spans="2:13" x14ac:dyDescent="0.25">
      <c r="C55" t="s">
        <v>270</v>
      </c>
      <c r="D55" s="32">
        <v>6027.8040000000001</v>
      </c>
      <c r="E55" s="32">
        <v>6058.4520000000002</v>
      </c>
      <c r="F55" s="32">
        <v>7137.8859999999995</v>
      </c>
      <c r="G55" s="32">
        <v>9583.7389999999996</v>
      </c>
      <c r="H55" s="32">
        <v>9062.3590000000004</v>
      </c>
      <c r="I55" s="28">
        <f ca="1">I107</f>
        <v>9208.1732455558067</v>
      </c>
      <c r="J55" s="28">
        <f t="shared" ref="J55:M55" ca="1" si="38">J107</f>
        <v>11806.299015397715</v>
      </c>
      <c r="K55" s="28">
        <f t="shared" ca="1" si="38"/>
        <v>16813.183522692329</v>
      </c>
      <c r="L55" s="28">
        <f t="shared" ca="1" si="38"/>
        <v>24038.726889397469</v>
      </c>
      <c r="M55" s="28">
        <f t="shared" ca="1" si="38"/>
        <v>33933.664674163985</v>
      </c>
    </row>
    <row r="56" spans="2:13" x14ac:dyDescent="0.25">
      <c r="C56" t="s">
        <v>155</v>
      </c>
      <c r="D56" s="32">
        <v>2042.021</v>
      </c>
      <c r="E56" s="32">
        <v>3208.0210000000002</v>
      </c>
      <c r="F56" s="32">
        <v>2780.2469999999998</v>
      </c>
      <c r="G56" s="32">
        <v>3516.64</v>
      </c>
      <c r="H56" s="32">
        <v>3957.8319999999999</v>
      </c>
      <c r="I56" s="28">
        <f>H56*(1+I41)</f>
        <v>4499.4267548130229</v>
      </c>
      <c r="J56" s="28">
        <f>I56*(1+J41)</f>
        <v>5028.1875380963775</v>
      </c>
      <c r="K56" s="28">
        <f>J56*(1+K41)</f>
        <v>5536.5595857418693</v>
      </c>
      <c r="L56" s="28">
        <f>K56*(1+L41)</f>
        <v>6046.0265775163925</v>
      </c>
      <c r="M56" s="28">
        <f>L56*(1+M41)</f>
        <v>6527.317591007386</v>
      </c>
    </row>
    <row r="57" spans="2:13" x14ac:dyDescent="0.25">
      <c r="C57" t="s">
        <v>156</v>
      </c>
      <c r="D57" s="32">
        <v>30919.539000000001</v>
      </c>
      <c r="E57" s="32">
        <v>32736.713</v>
      </c>
      <c r="F57" s="32">
        <v>31658.056</v>
      </c>
      <c r="G57" s="32">
        <v>32452.462</v>
      </c>
      <c r="H57" s="32">
        <v>32778.392</v>
      </c>
      <c r="I57" s="28">
        <f>I179</f>
        <v>37263.8287690203</v>
      </c>
      <c r="J57" s="28">
        <f t="shared" ref="J57:M57" si="39">J179</f>
        <v>41642.975794131227</v>
      </c>
      <c r="K57" s="28">
        <f t="shared" si="39"/>
        <v>45853.265230258534</v>
      </c>
      <c r="L57" s="28">
        <f t="shared" si="39"/>
        <v>50072.62289057512</v>
      </c>
      <c r="M57" s="28">
        <f t="shared" si="39"/>
        <v>54058.629751473978</v>
      </c>
    </row>
    <row r="58" spans="2:13" x14ac:dyDescent="0.25">
      <c r="C58" t="s">
        <v>133</v>
      </c>
      <c r="D58" s="32">
        <v>1323.453</v>
      </c>
      <c r="E58" s="32">
        <v>1398.2570000000001</v>
      </c>
      <c r="F58" s="32">
        <v>1491.444</v>
      </c>
      <c r="G58" s="32">
        <v>1593.7560000000001</v>
      </c>
      <c r="H58" s="32">
        <v>2004.35</v>
      </c>
      <c r="I58" s="28">
        <f>I152</f>
        <v>2395.7720085620804</v>
      </c>
      <c r="J58" s="28">
        <f t="shared" ref="J58:M58" si="40">J152</f>
        <v>2854.2520680827874</v>
      </c>
      <c r="K58" s="28">
        <f t="shared" si="40"/>
        <v>3354.895425074048</v>
      </c>
      <c r="L58" s="28">
        <f t="shared" si="40"/>
        <v>3879.0259247404624</v>
      </c>
      <c r="M58" s="28">
        <f t="shared" si="40"/>
        <v>4405.3689984580515</v>
      </c>
    </row>
    <row r="59" spans="2:13" x14ac:dyDescent="0.25">
      <c r="C59" s="1" t="s">
        <v>185</v>
      </c>
      <c r="D59" s="33">
        <v>4271.8459999999995</v>
      </c>
      <c r="E59" s="33">
        <v>5193.3249999999998</v>
      </c>
      <c r="F59" s="33">
        <v>5664.3590000000004</v>
      </c>
      <c r="G59" s="33">
        <v>6483.777</v>
      </c>
      <c r="H59" s="33">
        <v>7794.06</v>
      </c>
      <c r="I59" s="29">
        <f>H59*(1+I41)</f>
        <v>8860.6090639061968</v>
      </c>
      <c r="J59" s="29">
        <f>I59*(1+J41)</f>
        <v>9901.8845072694985</v>
      </c>
      <c r="K59" s="29">
        <f>J59*(1+K41)</f>
        <v>10903.00892125974</v>
      </c>
      <c r="L59" s="29">
        <f>K59*(1+L41)</f>
        <v>11906.289581457075</v>
      </c>
      <c r="M59" s="29">
        <f>L59*(1+M41)</f>
        <v>12854.083989256498</v>
      </c>
    </row>
    <row r="60" spans="2:13" ht="15.75" thickBot="1" x14ac:dyDescent="0.3">
      <c r="C60" s="36" t="s">
        <v>136</v>
      </c>
      <c r="D60" s="38">
        <f>SUM(D55:D59)</f>
        <v>44584.663</v>
      </c>
      <c r="E60" s="38">
        <f>SUM(E55:E59)</f>
        <v>48594.767999999996</v>
      </c>
      <c r="F60" s="38">
        <f>SUM(F55:F59)</f>
        <v>48731.991999999998</v>
      </c>
      <c r="G60" s="38">
        <f>SUM(G55:G59)</f>
        <v>53630.374000000003</v>
      </c>
      <c r="H60" s="38">
        <f>SUM(H55:H59)</f>
        <v>55596.992999999995</v>
      </c>
      <c r="I60" s="38">
        <f ca="1">SUM(I55:I59)</f>
        <v>62227.809841857408</v>
      </c>
      <c r="J60" s="38">
        <f t="shared" ref="J60:M60" ca="1" si="41">SUM(J55:J59)</f>
        <v>71233.598922977602</v>
      </c>
      <c r="K60" s="38">
        <f t="shared" ca="1" si="41"/>
        <v>82460.912685026517</v>
      </c>
      <c r="L60" s="38">
        <f t="shared" ca="1" si="41"/>
        <v>95942.691863686516</v>
      </c>
      <c r="M60" s="38">
        <f t="shared" ca="1" si="41"/>
        <v>111779.0650043599</v>
      </c>
    </row>
    <row r="61" spans="2:13" ht="15.75" thickTop="1" x14ac:dyDescent="0.25"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 spans="2:13" x14ac:dyDescent="0.25">
      <c r="C62" t="s">
        <v>137</v>
      </c>
      <c r="D62" s="32">
        <v>837.48299999999995</v>
      </c>
      <c r="E62" s="32">
        <v>671.51300000000003</v>
      </c>
      <c r="F62" s="32">
        <v>747.41200000000003</v>
      </c>
      <c r="G62" s="32">
        <v>899.90899999999999</v>
      </c>
      <c r="H62" s="32">
        <v>900.16200000000003</v>
      </c>
      <c r="I62" s="28">
        <f>I117</f>
        <v>983.14492302129759</v>
      </c>
      <c r="J62" s="28">
        <f t="shared" ref="J62:M62" si="42">J117</f>
        <v>1069.3774313000038</v>
      </c>
      <c r="K62" s="28">
        <f t="shared" si="42"/>
        <v>1144.0071319749488</v>
      </c>
      <c r="L62" s="28">
        <f t="shared" si="42"/>
        <v>1225.7864941923674</v>
      </c>
      <c r="M62" s="28">
        <f t="shared" si="42"/>
        <v>1285.900042471136</v>
      </c>
    </row>
    <row r="63" spans="2:13" x14ac:dyDescent="0.25">
      <c r="C63" t="s">
        <v>157</v>
      </c>
      <c r="D63" s="32">
        <v>1449.3510000000001</v>
      </c>
      <c r="E63" s="32">
        <v>1514.65</v>
      </c>
      <c r="F63" s="32">
        <v>1803.96</v>
      </c>
      <c r="G63" s="32">
        <v>2156.5439999999999</v>
      </c>
      <c r="H63" s="32">
        <v>3220.8690000000001</v>
      </c>
      <c r="I63" s="28">
        <f>I127</f>
        <v>3517.7901367383693</v>
      </c>
      <c r="J63" s="28">
        <f t="shared" ref="J63:M63" si="43">J127</f>
        <v>3826.3386121318299</v>
      </c>
      <c r="K63" s="28">
        <f t="shared" si="43"/>
        <v>4093.3710900449273</v>
      </c>
      <c r="L63" s="28">
        <f t="shared" si="43"/>
        <v>4385.9857667429596</v>
      </c>
      <c r="M63" s="28">
        <f t="shared" si="43"/>
        <v>4601.0780102847766</v>
      </c>
    </row>
    <row r="64" spans="2:13" x14ac:dyDescent="0.25">
      <c r="C64" t="s">
        <v>139</v>
      </c>
      <c r="D64" s="32">
        <v>1209.3420000000001</v>
      </c>
      <c r="E64" s="32">
        <v>1264.6610000000001</v>
      </c>
      <c r="F64" s="32">
        <v>1442.9690000000001</v>
      </c>
      <c r="G64" s="32">
        <v>1520.8130000000001</v>
      </c>
      <c r="H64" s="32">
        <v>1775.73</v>
      </c>
      <c r="I64" s="28">
        <f>I137</f>
        <v>2018.7231472493349</v>
      </c>
      <c r="J64" s="28">
        <f t="shared" ref="J64:M64" si="44">J137</f>
        <v>2255.9581753404086</v>
      </c>
      <c r="K64" s="28">
        <f t="shared" si="44"/>
        <v>2484.0455464480074</v>
      </c>
      <c r="L64" s="28">
        <f t="shared" si="44"/>
        <v>2712.6241777046585</v>
      </c>
      <c r="M64" s="28">
        <f t="shared" si="44"/>
        <v>2928.5613097977744</v>
      </c>
    </row>
    <row r="65" spans="2:13" x14ac:dyDescent="0.25">
      <c r="C65" t="s">
        <v>158</v>
      </c>
      <c r="D65" s="32">
        <v>699.82299999999998</v>
      </c>
      <c r="E65" s="32">
        <v>0</v>
      </c>
      <c r="F65" s="32">
        <v>399.84399999999999</v>
      </c>
      <c r="G65" s="32">
        <v>1784.453</v>
      </c>
      <c r="H65" s="32">
        <v>998.86500000000001</v>
      </c>
      <c r="I65" s="28">
        <f>I195</f>
        <v>998.86500000000001</v>
      </c>
      <c r="J65" s="28">
        <f t="shared" ref="J65:M65" si="45">J195</f>
        <v>998.86500000000001</v>
      </c>
      <c r="K65" s="28">
        <f t="shared" si="45"/>
        <v>998.86500000000001</v>
      </c>
      <c r="L65" s="28">
        <f t="shared" si="45"/>
        <v>998.86500000000001</v>
      </c>
      <c r="M65" s="28">
        <f t="shared" si="45"/>
        <v>998.86500000000001</v>
      </c>
    </row>
    <row r="66" spans="2:13" x14ac:dyDescent="0.25">
      <c r="C66" t="s">
        <v>274</v>
      </c>
      <c r="D66" s="32">
        <v>7387.18</v>
      </c>
      <c r="E66" s="32">
        <v>7561.4269999999997</v>
      </c>
      <c r="F66" s="32">
        <v>7044.643</v>
      </c>
      <c r="G66" s="32">
        <v>6174.4869999999992</v>
      </c>
      <c r="H66" s="32">
        <v>5664.33</v>
      </c>
      <c r="I66" s="28">
        <f>H66*(1+I41)</f>
        <v>6439.4441073016869</v>
      </c>
      <c r="J66" s="28">
        <f>I66*(1+J41)</f>
        <v>7196.1906209423369</v>
      </c>
      <c r="K66" s="28">
        <f>J66*(1+K41)</f>
        <v>7923.7573899814952</v>
      </c>
      <c r="L66" s="28">
        <f>K66*(1+L41)</f>
        <v>8652.8912100926536</v>
      </c>
      <c r="M66" s="28">
        <f>L66*(1+M41)</f>
        <v>9341.7004183782592</v>
      </c>
    </row>
    <row r="67" spans="2:13" x14ac:dyDescent="0.25">
      <c r="C67" t="s">
        <v>159</v>
      </c>
      <c r="D67" s="32">
        <v>14693.072</v>
      </c>
      <c r="E67" s="32">
        <v>14353.075999999999</v>
      </c>
      <c r="F67" s="32">
        <v>14143.416999999999</v>
      </c>
      <c r="G67" s="32">
        <v>13798.351000000001</v>
      </c>
      <c r="H67" s="32">
        <v>13463.971</v>
      </c>
      <c r="I67" s="28">
        <f>I201</f>
        <v>13463.971</v>
      </c>
      <c r="J67" s="28">
        <f t="shared" ref="J67:M67" si="46">J201</f>
        <v>13463.971</v>
      </c>
      <c r="K67" s="28">
        <f t="shared" si="46"/>
        <v>13463.971</v>
      </c>
      <c r="L67" s="28">
        <f t="shared" si="46"/>
        <v>13463.971</v>
      </c>
      <c r="M67" s="28">
        <f t="shared" si="46"/>
        <v>13463.971</v>
      </c>
    </row>
    <row r="68" spans="2:13" x14ac:dyDescent="0.25">
      <c r="C68" s="1" t="s">
        <v>186</v>
      </c>
      <c r="D68" s="33">
        <v>2459.1640000000002</v>
      </c>
      <c r="E68" s="33">
        <v>2452.04</v>
      </c>
      <c r="F68" s="33">
        <v>2561.4340000000002</v>
      </c>
      <c r="G68" s="33">
        <v>2552.25</v>
      </c>
      <c r="H68" s="33">
        <v>2957.1280000000002</v>
      </c>
      <c r="I68" s="29">
        <f>H68*(1+I41)</f>
        <v>3361.7851491944898</v>
      </c>
      <c r="J68" s="29">
        <f>I68*(1+J41)</f>
        <v>3756.853286889354</v>
      </c>
      <c r="K68" s="29">
        <f>J68*(1+K41)</f>
        <v>4136.6878065227838</v>
      </c>
      <c r="L68" s="29">
        <f>K68*(1+L41)</f>
        <v>4517.3404230189399</v>
      </c>
      <c r="M68" s="29">
        <f>L68*(1+M41)</f>
        <v>4876.9411165659612</v>
      </c>
    </row>
    <row r="69" spans="2:13" ht="15.75" thickBot="1" x14ac:dyDescent="0.3">
      <c r="C69" s="36" t="s">
        <v>142</v>
      </c>
      <c r="D69" s="38">
        <f>SUM(D62:D68)</f>
        <v>28735.415000000001</v>
      </c>
      <c r="E69" s="38">
        <f>SUM(E62:E68)</f>
        <v>27817.366999999998</v>
      </c>
      <c r="F69" s="38">
        <f>SUM(F62:F68)</f>
        <v>28143.679000000004</v>
      </c>
      <c r="G69" s="38">
        <f>SUM(G62:G68)</f>
        <v>28886.807000000001</v>
      </c>
      <c r="H69" s="38">
        <f>SUM(H62:H68)</f>
        <v>28981.055</v>
      </c>
      <c r="I69" s="38">
        <f t="shared" ref="I69:M69" si="47">SUM(I62:I68)</f>
        <v>30783.723463505179</v>
      </c>
      <c r="J69" s="38">
        <f t="shared" si="47"/>
        <v>32567.554126603929</v>
      </c>
      <c r="K69" s="38">
        <f t="shared" si="47"/>
        <v>34244.704964972167</v>
      </c>
      <c r="L69" s="38">
        <f t="shared" si="47"/>
        <v>35957.464071751579</v>
      </c>
      <c r="M69" s="38">
        <f t="shared" si="47"/>
        <v>37497.01689749791</v>
      </c>
    </row>
    <row r="70" spans="2:13" ht="15.75" thickTop="1" x14ac:dyDescent="0.25">
      <c r="C70" s="2"/>
      <c r="D70" s="28"/>
      <c r="E70" s="28"/>
      <c r="F70" s="28"/>
      <c r="G70" s="28"/>
      <c r="H70" s="28"/>
      <c r="I70" s="28"/>
      <c r="J70" s="28"/>
      <c r="K70" s="28"/>
      <c r="L70" s="28"/>
      <c r="M70" s="28"/>
    </row>
    <row r="71" spans="2:13" x14ac:dyDescent="0.25">
      <c r="C71" t="s">
        <v>143</v>
      </c>
      <c r="D71" s="32">
        <v>4024.5610000000001</v>
      </c>
      <c r="E71" s="32">
        <v>4637.6009999999997</v>
      </c>
      <c r="F71" s="32">
        <v>5145.1719999999996</v>
      </c>
      <c r="G71" s="32">
        <v>6252.1260000000002</v>
      </c>
      <c r="H71" s="32">
        <v>7286.41</v>
      </c>
      <c r="I71" s="28">
        <f>H71+I37</f>
        <v>7705.278028856228</v>
      </c>
      <c r="J71" s="28">
        <f>I71+J37</f>
        <v>8173.3703254024358</v>
      </c>
      <c r="K71" s="28">
        <f>J71+K37</f>
        <v>8688.7888279581293</v>
      </c>
      <c r="L71" s="28">
        <f>K71+L37</f>
        <v>9251.6354688613665</v>
      </c>
      <c r="M71" s="28">
        <f>L71+M37</f>
        <v>9859.2872436433881</v>
      </c>
    </row>
    <row r="72" spans="2:13" x14ac:dyDescent="0.25">
      <c r="C72" t="s">
        <v>144</v>
      </c>
      <c r="D72" s="32">
        <v>-824.19</v>
      </c>
      <c r="E72" s="32">
        <v>-824.19</v>
      </c>
      <c r="F72" s="32">
        <v>-6922.2</v>
      </c>
      <c r="G72" s="32">
        <v>-13171.638000000001</v>
      </c>
      <c r="H72" s="32">
        <v>-22372.657999999999</v>
      </c>
      <c r="I72" s="28">
        <f>H72+I229</f>
        <v>-31499.824999999997</v>
      </c>
      <c r="J72" s="28">
        <f>I72+J229</f>
        <v>-40626.991999999998</v>
      </c>
      <c r="K72" s="28">
        <f>J72+K229</f>
        <v>-49754.159</v>
      </c>
      <c r="L72" s="28">
        <f>K72+L229</f>
        <v>-58881.326000000001</v>
      </c>
      <c r="M72" s="28">
        <f>L72+M229</f>
        <v>-68008.493000000002</v>
      </c>
    </row>
    <row r="73" spans="2:13" x14ac:dyDescent="0.25">
      <c r="C73" t="s">
        <v>145</v>
      </c>
      <c r="D73" s="32">
        <v>12689.371999999999</v>
      </c>
      <c r="E73" s="32">
        <v>17181.295999999998</v>
      </c>
      <c r="F73" s="32">
        <v>22589.286</v>
      </c>
      <c r="G73" s="32">
        <v>31300.917000000001</v>
      </c>
      <c r="H73" s="32">
        <v>42282.118000000002</v>
      </c>
      <c r="I73" s="28">
        <f ca="1">I215</f>
        <v>55818.565349495999</v>
      </c>
      <c r="J73" s="28">
        <f t="shared" ref="J73:M73" ca="1" si="48">J215</f>
        <v>71699.598470971236</v>
      </c>
      <c r="K73" s="28">
        <f t="shared" ca="1" si="48"/>
        <v>89861.509892096219</v>
      </c>
      <c r="L73" s="28">
        <f t="shared" ca="1" si="48"/>
        <v>110194.85032307357</v>
      </c>
      <c r="M73" s="28">
        <f t="shared" ca="1" si="48"/>
        <v>133011.18586321859</v>
      </c>
    </row>
    <row r="74" spans="2:13" x14ac:dyDescent="0.25">
      <c r="C74" s="1" t="s">
        <v>146</v>
      </c>
      <c r="D74" s="33">
        <v>-40.494999999999997</v>
      </c>
      <c r="E74" s="33">
        <v>-217.30600000000001</v>
      </c>
      <c r="F74" s="33">
        <v>-223.94499999999999</v>
      </c>
      <c r="G74" s="33">
        <v>362.16199999999998</v>
      </c>
      <c r="H74" s="33">
        <v>-580.38199999999995</v>
      </c>
      <c r="I74" s="29">
        <f>H74</f>
        <v>-580.38199999999995</v>
      </c>
      <c r="J74" s="29">
        <f t="shared" ref="J74:M74" si="49">I74</f>
        <v>-580.38199999999995</v>
      </c>
      <c r="K74" s="29">
        <f t="shared" si="49"/>
        <v>-580.38199999999995</v>
      </c>
      <c r="L74" s="29">
        <f t="shared" si="49"/>
        <v>-580.38199999999995</v>
      </c>
      <c r="M74" s="29">
        <f t="shared" si="49"/>
        <v>-580.38199999999995</v>
      </c>
    </row>
    <row r="75" spans="2:13" ht="15.75" thickBot="1" x14ac:dyDescent="0.3">
      <c r="C75" s="36" t="s">
        <v>149</v>
      </c>
      <c r="D75" s="38">
        <f>SUM(D71:D74)</f>
        <v>15849.247999999998</v>
      </c>
      <c r="E75" s="38">
        <f>SUM(E71:E74)</f>
        <v>20777.400999999998</v>
      </c>
      <c r="F75" s="38">
        <f>SUM(F71:F74)</f>
        <v>20588.313000000002</v>
      </c>
      <c r="G75" s="38">
        <f>SUM(G71:G74)</f>
        <v>24743.566999999999</v>
      </c>
      <c r="H75" s="38">
        <f>SUM(H71:H74)</f>
        <v>26615.488000000001</v>
      </c>
      <c r="I75" s="38">
        <f t="shared" ref="I75:M75" ca="1" si="50">SUM(I71:I74)</f>
        <v>31443.636378352228</v>
      </c>
      <c r="J75" s="38">
        <f t="shared" ca="1" si="50"/>
        <v>38665.594796373676</v>
      </c>
      <c r="K75" s="38">
        <f t="shared" ca="1" si="50"/>
        <v>48215.757720054353</v>
      </c>
      <c r="L75" s="38">
        <f t="shared" ca="1" si="50"/>
        <v>59984.777791934932</v>
      </c>
      <c r="M75" s="38">
        <f t="shared" ca="1" si="50"/>
        <v>74281.598106861973</v>
      </c>
    </row>
    <row r="76" spans="2:13" ht="15.75" thickTop="1" x14ac:dyDescent="0.25">
      <c r="C76" s="2"/>
      <c r="D76" s="28"/>
      <c r="E76" s="28"/>
      <c r="F76" s="28"/>
      <c r="G76" s="28"/>
      <c r="H76" s="28"/>
      <c r="I76" s="28"/>
      <c r="J76" s="28"/>
      <c r="K76" s="28"/>
      <c r="L76" s="28"/>
      <c r="M76" s="28"/>
    </row>
    <row r="77" spans="2:13" x14ac:dyDescent="0.25">
      <c r="C77" s="37" t="s">
        <v>152</v>
      </c>
      <c r="D77" s="39">
        <f>D60-D69-D75</f>
        <v>0</v>
      </c>
      <c r="E77" s="39">
        <f>E60-E69-E75</f>
        <v>0</v>
      </c>
      <c r="F77" s="39">
        <f>F60-F69-F75</f>
        <v>0</v>
      </c>
      <c r="G77" s="39">
        <f>G60-G69-G75</f>
        <v>0</v>
      </c>
      <c r="H77" s="39">
        <f>H60-H69-H75</f>
        <v>0.44999999999345164</v>
      </c>
      <c r="I77" s="39">
        <f ca="1">I60-I69-I75</f>
        <v>0.4500000000007276</v>
      </c>
      <c r="J77" s="39">
        <f ca="1">J60-J69-J75</f>
        <v>0.44999999999708962</v>
      </c>
      <c r="K77" s="39">
        <f ca="1">K60-K69-K75</f>
        <v>0.44999999999708962</v>
      </c>
      <c r="L77" s="39">
        <f ca="1">L60-L69-L75</f>
        <v>0.45000000000436557</v>
      </c>
      <c r="M77" s="39">
        <f ca="1">M60-M69-M75</f>
        <v>0.45000000002619345</v>
      </c>
    </row>
    <row r="80" spans="2:13" x14ac:dyDescent="0.25">
      <c r="B80" t="s">
        <v>129</v>
      </c>
      <c r="C80" s="14" t="s">
        <v>150</v>
      </c>
      <c r="D80" s="16"/>
      <c r="E80" s="16"/>
      <c r="F80" s="16"/>
      <c r="G80" s="16"/>
      <c r="H80" s="16"/>
      <c r="I80" s="16"/>
      <c r="J80" s="16"/>
      <c r="K80" s="16"/>
      <c r="L80" s="16"/>
      <c r="M80" s="15"/>
    </row>
    <row r="81" spans="3:13" x14ac:dyDescent="0.25">
      <c r="C81" s="40" t="s">
        <v>103</v>
      </c>
      <c r="D81" s="41">
        <v>2021</v>
      </c>
      <c r="E81" s="41">
        <v>2022</v>
      </c>
      <c r="F81" s="41">
        <v>2023</v>
      </c>
      <c r="G81" s="41">
        <v>2024</v>
      </c>
      <c r="H81" s="41">
        <v>2025</v>
      </c>
      <c r="I81" s="42">
        <v>2026</v>
      </c>
      <c r="J81" s="42">
        <v>2027</v>
      </c>
      <c r="K81" s="42">
        <v>2028</v>
      </c>
      <c r="L81" s="42">
        <v>2029</v>
      </c>
      <c r="M81" s="42">
        <v>2030</v>
      </c>
    </row>
    <row r="82" spans="3:13" x14ac:dyDescent="0.25">
      <c r="C82" s="18" t="s">
        <v>104</v>
      </c>
      <c r="D82" s="43">
        <v>44561</v>
      </c>
      <c r="E82" s="43">
        <f>EOMONTH(D82,12)</f>
        <v>44926</v>
      </c>
      <c r="F82" s="43">
        <f t="shared" ref="F82:M82" si="51">EOMONTH(E82,12)</f>
        <v>45291</v>
      </c>
      <c r="G82" s="43">
        <f t="shared" si="51"/>
        <v>45657</v>
      </c>
      <c r="H82" s="43">
        <f t="shared" si="51"/>
        <v>46022</v>
      </c>
      <c r="I82" s="43">
        <f t="shared" si="51"/>
        <v>46387</v>
      </c>
      <c r="J82" s="43">
        <f t="shared" si="51"/>
        <v>46752</v>
      </c>
      <c r="K82" s="43">
        <f t="shared" si="51"/>
        <v>47118</v>
      </c>
      <c r="L82" s="43">
        <f t="shared" si="51"/>
        <v>47483</v>
      </c>
      <c r="M82" s="43">
        <f t="shared" si="51"/>
        <v>47848</v>
      </c>
    </row>
    <row r="84" spans="3:13" x14ac:dyDescent="0.25">
      <c r="C84" t="s">
        <v>79</v>
      </c>
      <c r="I84" s="28">
        <f ca="1">I27</f>
        <v>13536.447349495998</v>
      </c>
      <c r="J84" s="28">
        <f ca="1">J27</f>
        <v>15881.033121475233</v>
      </c>
      <c r="K84" s="28">
        <f ca="1">K27</f>
        <v>18161.911421124987</v>
      </c>
      <c r="L84" s="28">
        <f ca="1">L27</f>
        <v>20333.340430977343</v>
      </c>
      <c r="M84" s="28">
        <f ca="1">M27</f>
        <v>22816.335540145032</v>
      </c>
    </row>
    <row r="85" spans="3:13" x14ac:dyDescent="0.25">
      <c r="C85" t="s">
        <v>110</v>
      </c>
      <c r="I85" s="28">
        <f>I169</f>
        <v>390.97488984023119</v>
      </c>
      <c r="J85" s="28">
        <f t="shared" ref="J85:M85" si="52">J169</f>
        <v>415.86206199144658</v>
      </c>
      <c r="K85" s="28">
        <f t="shared" si="52"/>
        <v>462.09862854508071</v>
      </c>
      <c r="L85" s="28">
        <f t="shared" si="52"/>
        <v>527.20174767969127</v>
      </c>
      <c r="M85" s="28">
        <f t="shared" si="52"/>
        <v>608.67996730161121</v>
      </c>
    </row>
    <row r="86" spans="3:13" x14ac:dyDescent="0.25">
      <c r="C86" t="s">
        <v>175</v>
      </c>
      <c r="I86" s="28">
        <f>I37</f>
        <v>418.86802885622825</v>
      </c>
      <c r="J86" s="28">
        <f>J37</f>
        <v>468.09229654620816</v>
      </c>
      <c r="K86" s="28">
        <f>K37</f>
        <v>515.41850255569364</v>
      </c>
      <c r="L86" s="28">
        <f>L37</f>
        <v>562.84664090323633</v>
      </c>
      <c r="M86" s="28">
        <f>M37</f>
        <v>607.65177478202224</v>
      </c>
    </row>
    <row r="87" spans="3:13" x14ac:dyDescent="0.25">
      <c r="C87" t="s">
        <v>263</v>
      </c>
      <c r="I87" s="28">
        <f>H56-I56</f>
        <v>-541.59475481302297</v>
      </c>
      <c r="J87" s="28">
        <f t="shared" ref="J87:M88" si="53">I56-J56</f>
        <v>-528.76078328335461</v>
      </c>
      <c r="K87" s="28">
        <f t="shared" si="53"/>
        <v>-508.37204764549188</v>
      </c>
      <c r="L87" s="28">
        <f t="shared" si="53"/>
        <v>-509.46699177452319</v>
      </c>
      <c r="M87" s="28">
        <f t="shared" si="53"/>
        <v>-481.29101349099346</v>
      </c>
    </row>
    <row r="88" spans="3:13" x14ac:dyDescent="0.25">
      <c r="C88" t="s">
        <v>264</v>
      </c>
      <c r="I88" s="28">
        <f>H57-I57</f>
        <v>-4485.4367690202998</v>
      </c>
      <c r="J88" s="28">
        <f t="shared" si="53"/>
        <v>-4379.1470251109276</v>
      </c>
      <c r="K88" s="28">
        <f t="shared" si="53"/>
        <v>-4210.2894361273065</v>
      </c>
      <c r="L88" s="28">
        <f t="shared" si="53"/>
        <v>-4219.3576603165857</v>
      </c>
      <c r="M88" s="28">
        <f t="shared" si="53"/>
        <v>-3986.0068608988586</v>
      </c>
    </row>
    <row r="89" spans="3:13" x14ac:dyDescent="0.25">
      <c r="C89" t="s">
        <v>192</v>
      </c>
      <c r="I89" s="28">
        <f>H59-I59</f>
        <v>-1066.5490639061964</v>
      </c>
      <c r="J89" s="28">
        <f t="shared" ref="J89:M89" si="54">I59-J59</f>
        <v>-1041.2754433633017</v>
      </c>
      <c r="K89" s="28">
        <f t="shared" si="54"/>
        <v>-1001.124413990241</v>
      </c>
      <c r="L89" s="28">
        <f t="shared" si="54"/>
        <v>-1003.2806601973352</v>
      </c>
      <c r="M89" s="28">
        <f t="shared" si="54"/>
        <v>-947.79440779942342</v>
      </c>
    </row>
    <row r="90" spans="3:13" x14ac:dyDescent="0.25">
      <c r="C90" t="s">
        <v>265</v>
      </c>
      <c r="I90" s="28">
        <f>I66-H66</f>
        <v>775.114107301687</v>
      </c>
      <c r="J90" s="28">
        <f t="shared" ref="J90:M90" si="55">J66-I66</f>
        <v>756.74651364064994</v>
      </c>
      <c r="K90" s="28">
        <f t="shared" si="55"/>
        <v>727.56676903915832</v>
      </c>
      <c r="L90" s="28">
        <f t="shared" si="55"/>
        <v>729.13382011115846</v>
      </c>
      <c r="M90" s="28">
        <f t="shared" si="55"/>
        <v>688.80920828560556</v>
      </c>
    </row>
    <row r="91" spans="3:13" x14ac:dyDescent="0.25">
      <c r="C91" t="s">
        <v>189</v>
      </c>
      <c r="I91" s="28">
        <f>I62-H62</f>
        <v>82.982923021297552</v>
      </c>
      <c r="J91" s="28">
        <f t="shared" ref="J91:M91" si="56">J62-I62</f>
        <v>86.232508278706177</v>
      </c>
      <c r="K91" s="28">
        <f t="shared" si="56"/>
        <v>74.62970067494507</v>
      </c>
      <c r="L91" s="28">
        <f t="shared" si="56"/>
        <v>81.779362217418566</v>
      </c>
      <c r="M91" s="28">
        <f t="shared" si="56"/>
        <v>60.113548278768576</v>
      </c>
    </row>
    <row r="92" spans="3:13" x14ac:dyDescent="0.25">
      <c r="C92" t="s">
        <v>266</v>
      </c>
      <c r="I92" s="28">
        <f>I63-H63</f>
        <v>296.92113673836911</v>
      </c>
      <c r="J92" s="28">
        <f t="shared" ref="J92:M92" si="57">J63-I63</f>
        <v>308.54847539346065</v>
      </c>
      <c r="K92" s="28">
        <f t="shared" si="57"/>
        <v>267.03247791309741</v>
      </c>
      <c r="L92" s="28">
        <f t="shared" si="57"/>
        <v>292.61467669803233</v>
      </c>
      <c r="M92" s="28">
        <f t="shared" si="57"/>
        <v>215.09224354181697</v>
      </c>
    </row>
    <row r="93" spans="3:13" x14ac:dyDescent="0.25">
      <c r="C93" t="s">
        <v>191</v>
      </c>
      <c r="I93" s="28">
        <f>I64-H64</f>
        <v>242.99314724933492</v>
      </c>
      <c r="J93" s="28">
        <f t="shared" ref="J93:M93" si="58">J64-I64</f>
        <v>237.23502809107367</v>
      </c>
      <c r="K93" s="28">
        <f t="shared" si="58"/>
        <v>228.08737110759876</v>
      </c>
      <c r="L93" s="28">
        <f t="shared" si="58"/>
        <v>228.57863125665108</v>
      </c>
      <c r="M93" s="28">
        <f t="shared" si="58"/>
        <v>215.93713209311591</v>
      </c>
    </row>
    <row r="94" spans="3:13" x14ac:dyDescent="0.25">
      <c r="C94" s="1" t="s">
        <v>193</v>
      </c>
      <c r="D94" s="1"/>
      <c r="E94" s="1"/>
      <c r="F94" s="1"/>
      <c r="G94" s="1"/>
      <c r="H94" s="1"/>
      <c r="I94" s="29">
        <f>I68-H68</f>
        <v>404.65714919448965</v>
      </c>
      <c r="J94" s="29">
        <f t="shared" ref="J94:M94" si="59">J68-I68</f>
        <v>395.06813769486416</v>
      </c>
      <c r="K94" s="29">
        <f t="shared" si="59"/>
        <v>379.83451963342986</v>
      </c>
      <c r="L94" s="29">
        <f t="shared" si="59"/>
        <v>380.65261649615604</v>
      </c>
      <c r="M94" s="29">
        <f t="shared" si="59"/>
        <v>359.60069354702136</v>
      </c>
    </row>
    <row r="95" spans="3:13" x14ac:dyDescent="0.25">
      <c r="C95" s="58" t="s">
        <v>194</v>
      </c>
      <c r="I95" s="60">
        <f t="shared" ref="I95:M95" ca="1" si="60">SUM(I84:I94)</f>
        <v>10055.378143958118</v>
      </c>
      <c r="J95" s="60">
        <f t="shared" ca="1" si="60"/>
        <v>12599.634891354061</v>
      </c>
      <c r="K95" s="60">
        <f t="shared" ca="1" si="60"/>
        <v>15096.793492830953</v>
      </c>
      <c r="L95" s="60">
        <f t="shared" ca="1" si="60"/>
        <v>17404.042614051243</v>
      </c>
      <c r="M95" s="60">
        <f t="shared" ca="1" si="60"/>
        <v>20157.127825785719</v>
      </c>
    </row>
    <row r="96" spans="3:13" x14ac:dyDescent="0.25">
      <c r="C96" s="58"/>
    </row>
    <row r="97" spans="2:13" x14ac:dyDescent="0.25">
      <c r="C97" s="79" t="s">
        <v>195</v>
      </c>
      <c r="D97" s="1"/>
      <c r="E97" s="1"/>
      <c r="F97" s="1"/>
      <c r="G97" s="1"/>
      <c r="H97" s="1"/>
      <c r="I97" s="29">
        <f>-I150</f>
        <v>-782.39689840231188</v>
      </c>
      <c r="J97" s="29">
        <f t="shared" ref="J97:M97" si="61">-J150</f>
        <v>-874.34212151215331</v>
      </c>
      <c r="K97" s="29">
        <f t="shared" si="61"/>
        <v>-962.74198553634142</v>
      </c>
      <c r="L97" s="29">
        <f t="shared" si="61"/>
        <v>-1051.3322473461055</v>
      </c>
      <c r="M97" s="29">
        <f t="shared" si="61"/>
        <v>-1135.0230410192</v>
      </c>
    </row>
    <row r="98" spans="2:13" x14ac:dyDescent="0.25">
      <c r="C98" s="58" t="s">
        <v>197</v>
      </c>
      <c r="I98" s="60">
        <f>I97</f>
        <v>-782.39689840231188</v>
      </c>
      <c r="J98" s="60">
        <f t="shared" ref="J98:M98" si="62">J97</f>
        <v>-874.34212151215331</v>
      </c>
      <c r="K98" s="60">
        <f t="shared" si="62"/>
        <v>-962.74198553634142</v>
      </c>
      <c r="L98" s="60">
        <f t="shared" si="62"/>
        <v>-1051.3322473461055</v>
      </c>
      <c r="M98" s="60">
        <f t="shared" si="62"/>
        <v>-1135.0230410192</v>
      </c>
    </row>
    <row r="100" spans="2:13" x14ac:dyDescent="0.25">
      <c r="C100" s="80" t="s">
        <v>267</v>
      </c>
      <c r="I100" s="28">
        <f>I193+I199</f>
        <v>-1998</v>
      </c>
      <c r="J100" s="28">
        <f t="shared" ref="J100:M100" si="63">J193+J199</f>
        <v>-1998</v>
      </c>
      <c r="K100" s="28">
        <f t="shared" si="63"/>
        <v>-1998</v>
      </c>
      <c r="L100" s="28">
        <f t="shared" si="63"/>
        <v>-1998</v>
      </c>
      <c r="M100" s="28">
        <f t="shared" si="63"/>
        <v>-1998</v>
      </c>
    </row>
    <row r="101" spans="2:13" x14ac:dyDescent="0.25">
      <c r="C101" s="80" t="s">
        <v>199</v>
      </c>
      <c r="I101" s="28">
        <f>I194+I200</f>
        <v>1998</v>
      </c>
      <c r="J101" s="28">
        <f t="shared" ref="J101:M101" si="64">J194+J200</f>
        <v>1998</v>
      </c>
      <c r="K101" s="28">
        <f t="shared" si="64"/>
        <v>1998</v>
      </c>
      <c r="L101" s="28">
        <f t="shared" si="64"/>
        <v>1998</v>
      </c>
      <c r="M101" s="28">
        <f t="shared" si="64"/>
        <v>1998</v>
      </c>
    </row>
    <row r="102" spans="2:13" x14ac:dyDescent="0.25">
      <c r="C102" s="81" t="s">
        <v>268</v>
      </c>
      <c r="D102" s="1"/>
      <c r="E102" s="1"/>
      <c r="F102" s="1"/>
      <c r="G102" s="1"/>
      <c r="H102" s="1"/>
      <c r="I102" s="29">
        <f>I229</f>
        <v>-9127.1669999999995</v>
      </c>
      <c r="J102" s="29">
        <f t="shared" ref="J102:M102" si="65">J229</f>
        <v>-9127.1669999999995</v>
      </c>
      <c r="K102" s="29">
        <f t="shared" si="65"/>
        <v>-9127.1669999999995</v>
      </c>
      <c r="L102" s="29">
        <f t="shared" si="65"/>
        <v>-9127.1669999999995</v>
      </c>
      <c r="M102" s="29">
        <f t="shared" si="65"/>
        <v>-9127.1669999999995</v>
      </c>
    </row>
    <row r="103" spans="2:13" x14ac:dyDescent="0.25">
      <c r="C103" s="58" t="s">
        <v>200</v>
      </c>
      <c r="I103" s="60">
        <f>SUM(I100:I102)</f>
        <v>-9127.1669999999995</v>
      </c>
      <c r="J103" s="60">
        <f t="shared" ref="J103:M103" si="66">SUM(J100:J102)</f>
        <v>-9127.1669999999995</v>
      </c>
      <c r="K103" s="60">
        <f t="shared" si="66"/>
        <v>-9127.1669999999995</v>
      </c>
      <c r="L103" s="60">
        <f t="shared" si="66"/>
        <v>-9127.1669999999995</v>
      </c>
      <c r="M103" s="60">
        <f t="shared" si="66"/>
        <v>-9127.1669999999995</v>
      </c>
    </row>
    <row r="105" spans="2:13" x14ac:dyDescent="0.25">
      <c r="C105" t="s">
        <v>201</v>
      </c>
      <c r="I105" s="28">
        <f ca="1">I95+I98+I103</f>
        <v>145.81424555580634</v>
      </c>
      <c r="J105" s="28">
        <f t="shared" ref="J105:M105" ca="1" si="67">J95+J98+J103</f>
        <v>2598.1257698419086</v>
      </c>
      <c r="K105" s="28">
        <f t="shared" ca="1" si="67"/>
        <v>5006.8845072946115</v>
      </c>
      <c r="L105" s="28">
        <f t="shared" ca="1" si="67"/>
        <v>7225.5433667051384</v>
      </c>
      <c r="M105" s="28">
        <f t="shared" ca="1" si="67"/>
        <v>9894.9377847665182</v>
      </c>
    </row>
    <row r="106" spans="2:13" x14ac:dyDescent="0.25">
      <c r="C106" s="1" t="s">
        <v>202</v>
      </c>
      <c r="D106" s="1"/>
      <c r="E106" s="1"/>
      <c r="F106" s="1"/>
      <c r="G106" s="1"/>
      <c r="H106" s="1"/>
      <c r="I106" s="29">
        <f>H55</f>
        <v>9062.3590000000004</v>
      </c>
      <c r="J106" s="29">
        <f t="shared" ref="J106:M106" ca="1" si="68">I55</f>
        <v>9208.1732455558067</v>
      </c>
      <c r="K106" s="29">
        <f t="shared" ca="1" si="68"/>
        <v>11806.299015397715</v>
      </c>
      <c r="L106" s="29">
        <f t="shared" ca="1" si="68"/>
        <v>16813.183522692329</v>
      </c>
      <c r="M106" s="29">
        <f t="shared" ca="1" si="68"/>
        <v>24038.726889397469</v>
      </c>
    </row>
    <row r="107" spans="2:13" ht="15.75" thickBot="1" x14ac:dyDescent="0.3">
      <c r="C107" s="36" t="s">
        <v>203</v>
      </c>
      <c r="D107" s="59"/>
      <c r="E107" s="59"/>
      <c r="F107" s="59"/>
      <c r="G107" s="59"/>
      <c r="H107" s="59"/>
      <c r="I107" s="78">
        <f ca="1">SUM(I105:I106)</f>
        <v>9208.1732455558067</v>
      </c>
      <c r="J107" s="78">
        <f t="shared" ref="J107:M107" ca="1" si="69">SUM(J105:J106)</f>
        <v>11806.299015397715</v>
      </c>
      <c r="K107" s="78">
        <f t="shared" ca="1" si="69"/>
        <v>16813.183522692329</v>
      </c>
      <c r="L107" s="78">
        <f t="shared" ca="1" si="69"/>
        <v>24038.726889397469</v>
      </c>
      <c r="M107" s="78">
        <f t="shared" ca="1" si="69"/>
        <v>33933.664674163985</v>
      </c>
    </row>
    <row r="108" spans="2:13" ht="15.75" thickTop="1" x14ac:dyDescent="0.25"/>
    <row r="110" spans="2:13" x14ac:dyDescent="0.25">
      <c r="B110" t="s">
        <v>129</v>
      </c>
      <c r="C110" s="14" t="s">
        <v>214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5"/>
    </row>
    <row r="111" spans="2:13" x14ac:dyDescent="0.25">
      <c r="C111" s="40" t="s">
        <v>103</v>
      </c>
      <c r="D111" s="41">
        <v>2021</v>
      </c>
      <c r="E111" s="41">
        <v>2022</v>
      </c>
      <c r="F111" s="41">
        <v>2023</v>
      </c>
      <c r="G111" s="41">
        <v>2024</v>
      </c>
      <c r="H111" s="41">
        <v>2025</v>
      </c>
      <c r="I111" s="42">
        <v>2026</v>
      </c>
      <c r="J111" s="42">
        <v>2027</v>
      </c>
      <c r="K111" s="42">
        <v>2028</v>
      </c>
      <c r="L111" s="42">
        <v>2029</v>
      </c>
      <c r="M111" s="42">
        <v>2030</v>
      </c>
    </row>
    <row r="112" spans="2:13" x14ac:dyDescent="0.25">
      <c r="C112" s="18" t="s">
        <v>104</v>
      </c>
      <c r="D112" s="43">
        <v>44561</v>
      </c>
      <c r="E112" s="43">
        <f>EOMONTH(D112,12)</f>
        <v>44926</v>
      </c>
      <c r="F112" s="43">
        <f t="shared" ref="F112:M112" si="70">EOMONTH(E112,12)</f>
        <v>45291</v>
      </c>
      <c r="G112" s="43">
        <f t="shared" si="70"/>
        <v>45657</v>
      </c>
      <c r="H112" s="43">
        <f t="shared" si="70"/>
        <v>46022</v>
      </c>
      <c r="I112" s="43">
        <f t="shared" si="70"/>
        <v>46387</v>
      </c>
      <c r="J112" s="43">
        <f t="shared" si="70"/>
        <v>46752</v>
      </c>
      <c r="K112" s="43">
        <f t="shared" si="70"/>
        <v>47118</v>
      </c>
      <c r="L112" s="43">
        <f t="shared" si="70"/>
        <v>47483</v>
      </c>
      <c r="M112" s="43">
        <f t="shared" si="70"/>
        <v>47848</v>
      </c>
    </row>
    <row r="114" spans="3:13" x14ac:dyDescent="0.25">
      <c r="C114" s="65" t="s">
        <v>137</v>
      </c>
    </row>
    <row r="115" spans="3:13" x14ac:dyDescent="0.25">
      <c r="C115" s="66" t="s">
        <v>205</v>
      </c>
      <c r="E115" s="28">
        <f>D117</f>
        <v>837.48299999999995</v>
      </c>
      <c r="F115" s="28">
        <f t="shared" ref="F115:H115" si="71">E117</f>
        <v>671.51300000000003</v>
      </c>
      <c r="G115" s="28">
        <f t="shared" si="71"/>
        <v>747.41200000000003</v>
      </c>
      <c r="H115" s="28">
        <f t="shared" si="71"/>
        <v>899.90899999999999</v>
      </c>
      <c r="I115" s="28">
        <f t="shared" ref="I115:M115" si="72">H117</f>
        <v>900.16200000000003</v>
      </c>
      <c r="J115" s="28">
        <f t="shared" si="72"/>
        <v>983.14492302129759</v>
      </c>
      <c r="K115" s="28">
        <f t="shared" si="72"/>
        <v>1069.3774313000038</v>
      </c>
      <c r="L115" s="28">
        <f t="shared" si="72"/>
        <v>1144.0071319749488</v>
      </c>
      <c r="M115" s="28">
        <f t="shared" si="72"/>
        <v>1225.7864941923674</v>
      </c>
    </row>
    <row r="116" spans="3:13" x14ac:dyDescent="0.25">
      <c r="C116" s="67" t="s">
        <v>217</v>
      </c>
      <c r="D116" s="1"/>
      <c r="E116" s="29">
        <f>E117-E115</f>
        <v>-165.96999999999991</v>
      </c>
      <c r="F116" s="29">
        <f t="shared" ref="F116:H116" si="73">F117-F115</f>
        <v>75.899000000000001</v>
      </c>
      <c r="G116" s="29">
        <f t="shared" si="73"/>
        <v>152.49699999999996</v>
      </c>
      <c r="H116" s="29">
        <f t="shared" si="73"/>
        <v>0.25300000000004275</v>
      </c>
      <c r="I116" s="29">
        <f t="shared" ref="I116" si="74">I117-I115</f>
        <v>82.982923021297552</v>
      </c>
      <c r="J116" s="29">
        <f t="shared" ref="J116" si="75">J117-J115</f>
        <v>86.232508278706177</v>
      </c>
      <c r="K116" s="29">
        <f t="shared" ref="K116" si="76">K117-K115</f>
        <v>74.62970067494507</v>
      </c>
      <c r="L116" s="29">
        <f t="shared" ref="L116" si="77">L117-L115</f>
        <v>81.779362217418566</v>
      </c>
      <c r="M116" s="29">
        <f t="shared" ref="M116" si="78">M117-M115</f>
        <v>60.113548278768576</v>
      </c>
    </row>
    <row r="117" spans="3:13" x14ac:dyDescent="0.25">
      <c r="C117" s="65" t="s">
        <v>207</v>
      </c>
      <c r="D117" s="60">
        <f>D62</f>
        <v>837.48299999999995</v>
      </c>
      <c r="E117" s="60">
        <f>E62</f>
        <v>671.51300000000003</v>
      </c>
      <c r="F117" s="60">
        <f>F62</f>
        <v>747.41200000000003</v>
      </c>
      <c r="G117" s="60">
        <f>G62</f>
        <v>899.90899999999999</v>
      </c>
      <c r="H117" s="60">
        <f>H62</f>
        <v>900.16200000000003</v>
      </c>
      <c r="I117" s="60">
        <f>IF($D$119=1,H117*(1+I121),2*-I14*I122/365-I115)</f>
        <v>983.14492302129759</v>
      </c>
      <c r="J117" s="60">
        <f>IF($D$119=1,I117*(1+J121),2*-J14*J122/365-J115)</f>
        <v>1069.3774313000038</v>
      </c>
      <c r="K117" s="60">
        <f>IF($D$119=1,J117*(1+K121),2*-K14*K122/365-K115)</f>
        <v>1144.0071319749488</v>
      </c>
      <c r="L117" s="60">
        <f>IF($D$119=1,K117*(1+L121),2*-L14*L122/365-L115)</f>
        <v>1225.7864941923674</v>
      </c>
      <c r="M117" s="60">
        <f>IF($D$119=1,L117*(1+M121),2*-M14*M122/365-M115)</f>
        <v>1285.900042471136</v>
      </c>
    </row>
    <row r="118" spans="3:13" x14ac:dyDescent="0.25">
      <c r="C118" s="66"/>
    </row>
    <row r="119" spans="3:13" x14ac:dyDescent="0.25">
      <c r="C119" s="66" t="s">
        <v>225</v>
      </c>
      <c r="D119" s="139">
        <v>1</v>
      </c>
    </row>
    <row r="120" spans="3:13" x14ac:dyDescent="0.25">
      <c r="C120" s="66"/>
    </row>
    <row r="121" spans="3:13" x14ac:dyDescent="0.25">
      <c r="C121" s="66" t="s">
        <v>227</v>
      </c>
      <c r="E121" s="51">
        <f>E14/D14-1</f>
        <v>0.10590408882456326</v>
      </c>
      <c r="F121" s="51">
        <f>F14/E14-1</f>
        <v>2.8541051012127561E-2</v>
      </c>
      <c r="G121" s="51">
        <f>G14/F14-1</f>
        <v>6.7109880982186176E-2</v>
      </c>
      <c r="H121" s="51">
        <f>H14/G14-1</f>
        <v>0.10632263838272604</v>
      </c>
      <c r="I121" s="51">
        <f>I14/H14-1</f>
        <v>9.2186654203685103E-2</v>
      </c>
      <c r="J121" s="51">
        <f>J14/I14-1</f>
        <v>8.7710881945772146E-2</v>
      </c>
      <c r="K121" s="51">
        <f>K14/J14-1</f>
        <v>6.9787989245500004E-2</v>
      </c>
      <c r="L121" s="51">
        <f>L14/K14-1</f>
        <v>7.1485010828769235E-2</v>
      </c>
      <c r="M121" s="51">
        <f>M14/L14-1</f>
        <v>4.9040798347493197E-2</v>
      </c>
    </row>
    <row r="122" spans="3:13" x14ac:dyDescent="0.25">
      <c r="C122" s="66" t="s">
        <v>222</v>
      </c>
      <c r="E122" s="68">
        <f>(AVERAGE(E62,D62)/-E14)*365</f>
        <v>14.367053181857427</v>
      </c>
      <c r="F122" s="68">
        <f>(AVERAGE(F62,E62)/-F14)*365</f>
        <v>13.134617243766389</v>
      </c>
      <c r="G122" s="68">
        <f>(AVERAGE(G62,F62)/-G14)*365</f>
        <v>14.289830403018014</v>
      </c>
      <c r="H122" s="68">
        <f>(AVERAGE(H62,G62)/-H14)*365</f>
        <v>14.114213272774789</v>
      </c>
      <c r="I122" s="68">
        <f>H122</f>
        <v>14.114213272774789</v>
      </c>
      <c r="J122" s="68">
        <f t="shared" ref="J122:M122" si="79">I122</f>
        <v>14.114213272774789</v>
      </c>
      <c r="K122" s="68">
        <f t="shared" si="79"/>
        <v>14.114213272774789</v>
      </c>
      <c r="L122" s="68">
        <f t="shared" si="79"/>
        <v>14.114213272774789</v>
      </c>
      <c r="M122" s="68">
        <f t="shared" si="79"/>
        <v>14.114213272774789</v>
      </c>
    </row>
    <row r="124" spans="3:13" x14ac:dyDescent="0.25">
      <c r="C124" s="65" t="s">
        <v>157</v>
      </c>
    </row>
    <row r="125" spans="3:13" x14ac:dyDescent="0.25">
      <c r="C125" s="66" t="s">
        <v>205</v>
      </c>
      <c r="E125" s="28">
        <f>D127</f>
        <v>1449.3510000000001</v>
      </c>
      <c r="F125" s="28">
        <f t="shared" ref="F125:M125" si="80">E127</f>
        <v>1514.65</v>
      </c>
      <c r="G125" s="28">
        <f t="shared" si="80"/>
        <v>1803.96</v>
      </c>
      <c r="H125" s="28">
        <f t="shared" si="80"/>
        <v>2156.5439999999999</v>
      </c>
      <c r="I125" s="28">
        <f t="shared" si="80"/>
        <v>3220.8690000000001</v>
      </c>
      <c r="J125" s="28">
        <f t="shared" si="80"/>
        <v>3517.7901367383693</v>
      </c>
      <c r="K125" s="28">
        <f t="shared" si="80"/>
        <v>3826.3386121318299</v>
      </c>
      <c r="L125" s="28">
        <f t="shared" si="80"/>
        <v>4093.3710900449273</v>
      </c>
      <c r="M125" s="28">
        <f t="shared" si="80"/>
        <v>4385.9857667429596</v>
      </c>
    </row>
    <row r="126" spans="3:13" x14ac:dyDescent="0.25">
      <c r="C126" s="67" t="s">
        <v>217</v>
      </c>
      <c r="D126" s="1"/>
      <c r="E126" s="29">
        <f>E127-E125</f>
        <v>65.298999999999978</v>
      </c>
      <c r="F126" s="29">
        <f t="shared" ref="F126:M126" si="81">F127-F125</f>
        <v>289.30999999999995</v>
      </c>
      <c r="G126" s="29">
        <f t="shared" si="81"/>
        <v>352.58399999999983</v>
      </c>
      <c r="H126" s="29">
        <f t="shared" si="81"/>
        <v>1064.3250000000003</v>
      </c>
      <c r="I126" s="29">
        <f t="shared" si="81"/>
        <v>296.92113673836911</v>
      </c>
      <c r="J126" s="29">
        <f t="shared" si="81"/>
        <v>308.54847539346065</v>
      </c>
      <c r="K126" s="29">
        <f t="shared" si="81"/>
        <v>267.03247791309741</v>
      </c>
      <c r="L126" s="29">
        <f t="shared" si="81"/>
        <v>292.61467669803233</v>
      </c>
      <c r="M126" s="29">
        <f t="shared" si="81"/>
        <v>215.09224354181697</v>
      </c>
    </row>
    <row r="127" spans="3:13" x14ac:dyDescent="0.25">
      <c r="C127" s="65" t="s">
        <v>207</v>
      </c>
      <c r="D127" s="60">
        <f>D63</f>
        <v>1449.3510000000001</v>
      </c>
      <c r="E127" s="60">
        <f>E63</f>
        <v>1514.65</v>
      </c>
      <c r="F127" s="60">
        <f>F63</f>
        <v>1803.96</v>
      </c>
      <c r="G127" s="60">
        <f>G63</f>
        <v>2156.5439999999999</v>
      </c>
      <c r="H127" s="60">
        <f>H63</f>
        <v>3220.8690000000001</v>
      </c>
      <c r="I127" s="60">
        <f>IF($D$129=1,H127*(1+I131),2*-I14*I132/365-I125)</f>
        <v>3517.7901367383693</v>
      </c>
      <c r="J127" s="60">
        <f>IF($D$129=1,I127*(1+J131),2*-J14*J132/365-J125)</f>
        <v>3826.3386121318299</v>
      </c>
      <c r="K127" s="60">
        <f>IF($D$129=1,J127*(1+K131),2*-K14*K132/365-K125)</f>
        <v>4093.3710900449273</v>
      </c>
      <c r="L127" s="60">
        <f>IF($D$129=1,K127*(1+L131),2*-L14*L132/365-L125)</f>
        <v>4385.9857667429596</v>
      </c>
      <c r="M127" s="60">
        <f>IF($D$129=1,L127*(1+M131),2*-M14*M132/365-M125)</f>
        <v>4601.0780102847766</v>
      </c>
    </row>
    <row r="128" spans="3:13" x14ac:dyDescent="0.25">
      <c r="C128" s="66"/>
    </row>
    <row r="129" spans="3:13" x14ac:dyDescent="0.25">
      <c r="C129" s="66" t="s">
        <v>224</v>
      </c>
      <c r="D129" s="139">
        <v>1</v>
      </c>
    </row>
    <row r="130" spans="3:13" x14ac:dyDescent="0.25">
      <c r="C130" s="66"/>
    </row>
    <row r="131" spans="3:13" x14ac:dyDescent="0.25">
      <c r="C131" s="66" t="s">
        <v>227</v>
      </c>
      <c r="E131" s="51">
        <f>E14/D14-1</f>
        <v>0.10590408882456326</v>
      </c>
      <c r="F131" s="51">
        <f>F14/E14-1</f>
        <v>2.8541051012127561E-2</v>
      </c>
      <c r="G131" s="51">
        <f>G14/F14-1</f>
        <v>6.7109880982186176E-2</v>
      </c>
      <c r="H131" s="51">
        <f>H14/G14-1</f>
        <v>0.10632263838272604</v>
      </c>
      <c r="I131" s="51">
        <f>I14/H14-1</f>
        <v>9.2186654203685103E-2</v>
      </c>
      <c r="J131" s="51">
        <f>J14/I14-1</f>
        <v>8.7710881945772146E-2</v>
      </c>
      <c r="K131" s="51">
        <f>K14/J14-1</f>
        <v>6.9787989245500004E-2</v>
      </c>
      <c r="L131" s="51">
        <f>L14/K14-1</f>
        <v>7.1485010828769235E-2</v>
      </c>
      <c r="M131" s="51">
        <f>M14/L14-1</f>
        <v>4.9040798347493197E-2</v>
      </c>
    </row>
    <row r="132" spans="3:13" x14ac:dyDescent="0.25">
      <c r="C132" s="66" t="s">
        <v>223</v>
      </c>
      <c r="E132" s="68">
        <f>(AVERAGE(E63,D63)/-E14)*365</f>
        <v>28.220061549585683</v>
      </c>
      <c r="F132" s="68">
        <f>(AVERAGE(F63,E63)/-F14)*365</f>
        <v>30.719503942305316</v>
      </c>
      <c r="G132" s="68">
        <f>(AVERAGE(G63,F63)/-G14)*365</f>
        <v>34.355739088176783</v>
      </c>
      <c r="H132" s="68">
        <f>(AVERAGE(H63,G63)/-H14)*365</f>
        <v>42.163866835136893</v>
      </c>
      <c r="I132" s="68">
        <f>H132</f>
        <v>42.163866835136893</v>
      </c>
      <c r="J132" s="68">
        <f t="shared" ref="J132:M132" si="82">I132</f>
        <v>42.163866835136893</v>
      </c>
      <c r="K132" s="68">
        <f t="shared" si="82"/>
        <v>42.163866835136893</v>
      </c>
      <c r="L132" s="68">
        <f t="shared" si="82"/>
        <v>42.163866835136893</v>
      </c>
      <c r="M132" s="68">
        <f t="shared" si="82"/>
        <v>42.163866835136893</v>
      </c>
    </row>
    <row r="134" spans="3:13" x14ac:dyDescent="0.25">
      <c r="C134" s="65" t="s">
        <v>228</v>
      </c>
    </row>
    <row r="135" spans="3:13" x14ac:dyDescent="0.25">
      <c r="C135" s="66" t="s">
        <v>205</v>
      </c>
      <c r="E135" s="28">
        <f>D137</f>
        <v>1209.3420000000001</v>
      </c>
      <c r="F135" s="28">
        <f t="shared" ref="F135:M135" si="83">E137</f>
        <v>1264.6610000000001</v>
      </c>
      <c r="G135" s="28">
        <f t="shared" si="83"/>
        <v>1442.9690000000001</v>
      </c>
      <c r="H135" s="28">
        <f t="shared" si="83"/>
        <v>1520.8130000000001</v>
      </c>
      <c r="I135" s="28">
        <f t="shared" si="83"/>
        <v>1775.73</v>
      </c>
      <c r="J135" s="28">
        <f t="shared" si="83"/>
        <v>2018.7231472493349</v>
      </c>
      <c r="K135" s="28">
        <f t="shared" si="83"/>
        <v>2255.9581753404086</v>
      </c>
      <c r="L135" s="28">
        <f t="shared" si="83"/>
        <v>2484.0455464480074</v>
      </c>
      <c r="M135" s="28">
        <f t="shared" si="83"/>
        <v>2712.6241777046585</v>
      </c>
    </row>
    <row r="136" spans="3:13" x14ac:dyDescent="0.25">
      <c r="C136" s="67" t="s">
        <v>217</v>
      </c>
      <c r="D136" s="1"/>
      <c r="E136" s="29">
        <f>E137-E135</f>
        <v>55.31899999999996</v>
      </c>
      <c r="F136" s="29">
        <f t="shared" ref="F136:M136" si="84">F137-F135</f>
        <v>178.30799999999999</v>
      </c>
      <c r="G136" s="29">
        <f t="shared" si="84"/>
        <v>77.844000000000051</v>
      </c>
      <c r="H136" s="29">
        <f t="shared" si="84"/>
        <v>254.91699999999992</v>
      </c>
      <c r="I136" s="29">
        <f t="shared" si="84"/>
        <v>242.99314724933492</v>
      </c>
      <c r="J136" s="29">
        <f t="shared" si="84"/>
        <v>237.23502809107367</v>
      </c>
      <c r="K136" s="29">
        <f t="shared" si="84"/>
        <v>228.08737110759876</v>
      </c>
      <c r="L136" s="29">
        <f t="shared" si="84"/>
        <v>228.57863125665108</v>
      </c>
      <c r="M136" s="29">
        <f t="shared" si="84"/>
        <v>215.93713209311591</v>
      </c>
    </row>
    <row r="137" spans="3:13" x14ac:dyDescent="0.25">
      <c r="C137" s="65" t="s">
        <v>207</v>
      </c>
      <c r="D137" s="60">
        <f>D64</f>
        <v>1209.3420000000001</v>
      </c>
      <c r="E137" s="60">
        <f>E64</f>
        <v>1264.6610000000001</v>
      </c>
      <c r="F137" s="60">
        <f>F64</f>
        <v>1442.9690000000001</v>
      </c>
      <c r="G137" s="60">
        <f>G64</f>
        <v>1520.8130000000001</v>
      </c>
      <c r="H137" s="60">
        <f>H64</f>
        <v>1775.73</v>
      </c>
      <c r="I137" s="60">
        <f>IF($D$139=1,H137*(1+I141),2*I13*I142/365-I135)</f>
        <v>2018.7231472493349</v>
      </c>
      <c r="J137" s="60">
        <f>IF($D$139=1,I137*(1+J141),2*J13*J142/365-J135)</f>
        <v>2255.9581753404086</v>
      </c>
      <c r="K137" s="60">
        <f>IF($D$139=1,J137*(1+K141),2*K13*K142/365-K135)</f>
        <v>2484.0455464480074</v>
      </c>
      <c r="L137" s="60">
        <f>IF($D$139=1,K137*(1+L141),2*L13*L142/365-L135)</f>
        <v>2712.6241777046585</v>
      </c>
      <c r="M137" s="60">
        <f>IF($D$139=1,L137*(1+M141),2*M13*M142/365-M135)</f>
        <v>2928.5613097977744</v>
      </c>
    </row>
    <row r="138" spans="3:13" x14ac:dyDescent="0.25">
      <c r="C138" s="66"/>
    </row>
    <row r="139" spans="3:13" x14ac:dyDescent="0.25">
      <c r="C139" s="66" t="s">
        <v>224</v>
      </c>
      <c r="D139" s="139">
        <v>1</v>
      </c>
    </row>
    <row r="140" spans="3:13" x14ac:dyDescent="0.25">
      <c r="C140" s="66"/>
    </row>
    <row r="141" spans="3:13" x14ac:dyDescent="0.25">
      <c r="C141" s="66" t="s">
        <v>219</v>
      </c>
      <c r="E141" s="51">
        <f>E41</f>
        <v>6.45739131769969E-2</v>
      </c>
      <c r="F141" s="51">
        <f>F41</f>
        <v>6.6668047843545297E-2</v>
      </c>
      <c r="G141" s="51">
        <f>G41</f>
        <v>0.15649919994477424</v>
      </c>
      <c r="H141" s="51">
        <f>H41</f>
        <v>0.15851068919677536</v>
      </c>
      <c r="I141" s="51">
        <f>I41</f>
        <v>0.1368412693649006</v>
      </c>
      <c r="J141" s="51">
        <f>J41</f>
        <v>0.11751736656624989</v>
      </c>
      <c r="K141" s="51">
        <f>K41</f>
        <v>0.10110443252042201</v>
      </c>
      <c r="L141" s="51">
        <f>L41</f>
        <v>9.201869570527843E-2</v>
      </c>
      <c r="M141" s="51">
        <f>M41</f>
        <v>7.9604515018308009E-2</v>
      </c>
    </row>
    <row r="142" spans="3:13" x14ac:dyDescent="0.25">
      <c r="C142" s="66" t="s">
        <v>229</v>
      </c>
      <c r="E142" s="68">
        <f>(AVERAGE(E64,D64)/E13)*365</f>
        <v>14.281122659577331</v>
      </c>
      <c r="F142" s="68">
        <f>(AVERAGE(F64,E64)/F13)*365</f>
        <v>14.652851854906121</v>
      </c>
      <c r="G142" s="68">
        <f>(AVERAGE(G64,F64)/G13)*365</f>
        <v>13.868636356340508</v>
      </c>
      <c r="H142" s="68">
        <f>(AVERAGE(H64,G64)/H13)*365</f>
        <v>13.315154331373396</v>
      </c>
      <c r="I142" s="68">
        <f>H142</f>
        <v>13.315154331373396</v>
      </c>
      <c r="J142" s="68">
        <f t="shared" ref="J142:M142" si="85">I142</f>
        <v>13.315154331373396</v>
      </c>
      <c r="K142" s="68">
        <f t="shared" si="85"/>
        <v>13.315154331373396</v>
      </c>
      <c r="L142" s="68">
        <f t="shared" si="85"/>
        <v>13.315154331373396</v>
      </c>
      <c r="M142" s="68">
        <f t="shared" si="85"/>
        <v>13.315154331373396</v>
      </c>
    </row>
    <row r="145" spans="2:13" x14ac:dyDescent="0.25">
      <c r="B145" t="s">
        <v>129</v>
      </c>
      <c r="C145" s="14" t="s">
        <v>204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5"/>
    </row>
    <row r="146" spans="2:13" x14ac:dyDescent="0.25">
      <c r="C146" s="40" t="s">
        <v>103</v>
      </c>
      <c r="D146" s="41">
        <v>2021</v>
      </c>
      <c r="E146" s="41">
        <v>2022</v>
      </c>
      <c r="F146" s="41">
        <v>2023</v>
      </c>
      <c r="G146" s="41">
        <v>2024</v>
      </c>
      <c r="H146" s="41">
        <v>2025</v>
      </c>
      <c r="I146" s="42">
        <v>2026</v>
      </c>
      <c r="J146" s="42">
        <v>2027</v>
      </c>
      <c r="K146" s="42">
        <v>2028</v>
      </c>
      <c r="L146" s="42">
        <v>2029</v>
      </c>
      <c r="M146" s="42">
        <v>2030</v>
      </c>
    </row>
    <row r="147" spans="2:13" x14ac:dyDescent="0.25">
      <c r="C147" s="18" t="s">
        <v>104</v>
      </c>
      <c r="D147" s="43">
        <v>44561</v>
      </c>
      <c r="E147" s="43">
        <f>EOMONTH(D147,12)</f>
        <v>44926</v>
      </c>
      <c r="F147" s="43">
        <f t="shared" ref="F147:M147" si="86">EOMONTH(E147,12)</f>
        <v>45291</v>
      </c>
      <c r="G147" s="43">
        <f t="shared" si="86"/>
        <v>45657</v>
      </c>
      <c r="H147" s="43">
        <f t="shared" si="86"/>
        <v>46022</v>
      </c>
      <c r="I147" s="43">
        <f t="shared" si="86"/>
        <v>46387</v>
      </c>
      <c r="J147" s="43">
        <f t="shared" si="86"/>
        <v>46752</v>
      </c>
      <c r="K147" s="43">
        <f t="shared" si="86"/>
        <v>47118</v>
      </c>
      <c r="L147" s="43">
        <f t="shared" si="86"/>
        <v>47483</v>
      </c>
      <c r="M147" s="43">
        <f t="shared" si="86"/>
        <v>47848</v>
      </c>
    </row>
    <row r="149" spans="2:13" x14ac:dyDescent="0.25">
      <c r="C149" t="s">
        <v>205</v>
      </c>
      <c r="D149" s="28"/>
      <c r="E149" s="28">
        <f>D152</f>
        <v>1323.453</v>
      </c>
      <c r="F149" s="28">
        <f t="shared" ref="F149:M149" si="87">E152</f>
        <v>1398.2570000000001</v>
      </c>
      <c r="G149" s="28">
        <f t="shared" si="87"/>
        <v>1491.444</v>
      </c>
      <c r="H149" s="28">
        <f t="shared" si="87"/>
        <v>1593.7560000000001</v>
      </c>
      <c r="I149" s="28">
        <f t="shared" si="87"/>
        <v>2004.35</v>
      </c>
      <c r="J149" s="28">
        <f t="shared" si="87"/>
        <v>2395.7720085620804</v>
      </c>
      <c r="K149" s="28">
        <f t="shared" si="87"/>
        <v>2854.2520680827874</v>
      </c>
      <c r="L149" s="28">
        <f t="shared" si="87"/>
        <v>3354.895425074048</v>
      </c>
      <c r="M149" s="28">
        <f t="shared" si="87"/>
        <v>3879.0259247404624</v>
      </c>
    </row>
    <row r="150" spans="2:13" x14ac:dyDescent="0.25">
      <c r="C150" t="s">
        <v>211</v>
      </c>
      <c r="D150" s="32"/>
      <c r="E150" s="28">
        <v>407.72899999999998</v>
      </c>
      <c r="F150" s="28">
        <v>348.55200000000002</v>
      </c>
      <c r="G150" s="28">
        <v>439.53800000000001</v>
      </c>
      <c r="H150" s="28">
        <v>688.22</v>
      </c>
      <c r="I150" s="28">
        <f>H150*(1+I41)</f>
        <v>782.39689840231188</v>
      </c>
      <c r="J150" s="28">
        <f>I150*(1+J41)</f>
        <v>874.34212151215331</v>
      </c>
      <c r="K150" s="28">
        <f>J150*(1+K41)</f>
        <v>962.74198553634142</v>
      </c>
      <c r="L150" s="28">
        <f>K150*(1+L41)</f>
        <v>1051.3322473461055</v>
      </c>
      <c r="M150" s="28">
        <f>L150*(1+M41)</f>
        <v>1135.0230410192</v>
      </c>
    </row>
    <row r="151" spans="2:13" x14ac:dyDescent="0.25">
      <c r="C151" s="1" t="s">
        <v>206</v>
      </c>
      <c r="D151" s="33">
        <v>-208.41200000000001</v>
      </c>
      <c r="E151" s="33">
        <v>-336.68200000000002</v>
      </c>
      <c r="F151" s="33">
        <v>-356.947</v>
      </c>
      <c r="G151" s="33">
        <v>-328.91399999999999</v>
      </c>
      <c r="H151" s="33">
        <v>-333.38900000000001</v>
      </c>
      <c r="I151" s="29">
        <f>-I169</f>
        <v>-390.97488984023119</v>
      </c>
      <c r="J151" s="29">
        <f t="shared" ref="J151:M151" si="88">-J169</f>
        <v>-415.86206199144658</v>
      </c>
      <c r="K151" s="29">
        <f t="shared" si="88"/>
        <v>-462.09862854508071</v>
      </c>
      <c r="L151" s="29">
        <f t="shared" si="88"/>
        <v>-527.20174767969127</v>
      </c>
      <c r="M151" s="29">
        <f t="shared" si="88"/>
        <v>-608.67996730161121</v>
      </c>
    </row>
    <row r="152" spans="2:13" x14ac:dyDescent="0.25">
      <c r="C152" s="58" t="s">
        <v>207</v>
      </c>
      <c r="D152" s="60">
        <f>D58</f>
        <v>1323.453</v>
      </c>
      <c r="E152" s="60">
        <f>E58</f>
        <v>1398.2570000000001</v>
      </c>
      <c r="F152" s="60">
        <f>F58</f>
        <v>1491.444</v>
      </c>
      <c r="G152" s="60">
        <f>G58</f>
        <v>1593.7560000000001</v>
      </c>
      <c r="H152" s="60">
        <f>H58</f>
        <v>2004.35</v>
      </c>
      <c r="I152" s="60">
        <f>SUM(I149:I151)</f>
        <v>2395.7720085620804</v>
      </c>
      <c r="J152" s="60">
        <f t="shared" ref="J152:M152" si="89">SUM(J149:J151)</f>
        <v>2854.2520680827874</v>
      </c>
      <c r="K152" s="60">
        <f t="shared" si="89"/>
        <v>3354.895425074048</v>
      </c>
      <c r="L152" s="60">
        <f t="shared" si="89"/>
        <v>3879.0259247404624</v>
      </c>
      <c r="M152" s="60">
        <f t="shared" si="89"/>
        <v>4405.3689984580515</v>
      </c>
    </row>
    <row r="154" spans="2:13" x14ac:dyDescent="0.25">
      <c r="C154" s="52" t="s">
        <v>230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 x14ac:dyDescent="0.25">
      <c r="C155" s="66" t="s">
        <v>231</v>
      </c>
      <c r="G155" s="73">
        <v>2511.2930000000001</v>
      </c>
      <c r="H155" s="73">
        <v>3101.241</v>
      </c>
    </row>
    <row r="156" spans="2:13" x14ac:dyDescent="0.25">
      <c r="C156" s="66" t="s">
        <v>232</v>
      </c>
      <c r="G156" s="73">
        <v>313.3</v>
      </c>
      <c r="H156" s="73">
        <v>440.67399999999998</v>
      </c>
    </row>
    <row r="157" spans="2:13" x14ac:dyDescent="0.25">
      <c r="C157" s="66" t="s">
        <v>233</v>
      </c>
      <c r="G157" s="73">
        <v>917.53700000000003</v>
      </c>
      <c r="H157" s="73">
        <v>1096.8910000000001</v>
      </c>
    </row>
    <row r="158" spans="2:13" x14ac:dyDescent="0.25">
      <c r="C158" s="66" t="s">
        <v>244</v>
      </c>
      <c r="G158" s="73">
        <f>G155-G156-G157</f>
        <v>1280.4559999999999</v>
      </c>
      <c r="H158" s="73">
        <f>H155-H156-H157</f>
        <v>1563.6759999999999</v>
      </c>
    </row>
    <row r="160" spans="2:13" x14ac:dyDescent="0.25">
      <c r="C160" s="69" t="s">
        <v>234</v>
      </c>
      <c r="D160" s="141">
        <f>IF(D161,D161,ROUND(H158/-H151,0))</f>
        <v>10</v>
      </c>
    </row>
    <row r="161" spans="2:13" x14ac:dyDescent="0.25">
      <c r="C161" s="70" t="s">
        <v>235</v>
      </c>
      <c r="D161" s="141">
        <v>10</v>
      </c>
    </row>
    <row r="163" spans="2:13" x14ac:dyDescent="0.25">
      <c r="C163" t="s">
        <v>236</v>
      </c>
      <c r="I163" s="28">
        <f>DDB($H$158,0,$D$160,I146-$H$146)</f>
        <v>312.73520000000002</v>
      </c>
      <c r="J163" s="28">
        <f t="shared" ref="J163:M163" si="90">DDB($H$158,0,$D$160,J146-$H$146)</f>
        <v>250.18816000000004</v>
      </c>
      <c r="K163" s="28">
        <f t="shared" si="90"/>
        <v>200.15052800000004</v>
      </c>
      <c r="L163" s="28">
        <f t="shared" si="90"/>
        <v>160.12042240000005</v>
      </c>
      <c r="M163" s="28">
        <f t="shared" si="90"/>
        <v>128.09633792000005</v>
      </c>
    </row>
    <row r="164" spans="2:13" x14ac:dyDescent="0.25">
      <c r="C164" t="s">
        <v>237</v>
      </c>
      <c r="D164" s="11" t="s">
        <v>243</v>
      </c>
      <c r="I164" s="28">
        <f>D165*I150/D160</f>
        <v>78.239689840231193</v>
      </c>
      <c r="J164" s="28">
        <f>$I$150/$D$160</f>
        <v>78.239689840231193</v>
      </c>
      <c r="K164" s="28">
        <f t="shared" ref="K164:M164" si="91">$I$150/$D$160</f>
        <v>78.239689840231193</v>
      </c>
      <c r="L164" s="28">
        <f t="shared" si="91"/>
        <v>78.239689840231193</v>
      </c>
      <c r="M164" s="28">
        <f t="shared" si="91"/>
        <v>78.239689840231193</v>
      </c>
    </row>
    <row r="165" spans="2:13" x14ac:dyDescent="0.25">
      <c r="C165" t="s">
        <v>238</v>
      </c>
      <c r="D165" s="72">
        <v>1</v>
      </c>
      <c r="I165" s="28"/>
      <c r="J165" s="28">
        <f>D165*J150/D160</f>
        <v>87.434212151215334</v>
      </c>
      <c r="K165" s="28">
        <f>$J$150/$D$160</f>
        <v>87.434212151215334</v>
      </c>
      <c r="L165" s="28">
        <f t="shared" ref="L165:M165" si="92">$J$150/$D$160</f>
        <v>87.434212151215334</v>
      </c>
      <c r="M165" s="28">
        <f t="shared" si="92"/>
        <v>87.434212151215334</v>
      </c>
    </row>
    <row r="166" spans="2:13" x14ac:dyDescent="0.25">
      <c r="C166" t="s">
        <v>239</v>
      </c>
      <c r="I166" s="28"/>
      <c r="J166" s="28"/>
      <c r="K166" s="28">
        <f>D165*K150/D160</f>
        <v>96.274198553634136</v>
      </c>
      <c r="L166" s="28">
        <f>$K$150/$D$160</f>
        <v>96.274198553634136</v>
      </c>
      <c r="M166" s="28">
        <f>$K$150/$D$160</f>
        <v>96.274198553634136</v>
      </c>
    </row>
    <row r="167" spans="2:13" x14ac:dyDescent="0.25">
      <c r="C167" t="s">
        <v>240</v>
      </c>
      <c r="I167" s="28"/>
      <c r="J167" s="28"/>
      <c r="K167" s="28"/>
      <c r="L167" s="28">
        <f>D165*L150/D160</f>
        <v>105.13322473461055</v>
      </c>
      <c r="M167" s="28">
        <f>L150/D160</f>
        <v>105.13322473461055</v>
      </c>
    </row>
    <row r="168" spans="2:13" x14ac:dyDescent="0.25">
      <c r="C168" s="1" t="s">
        <v>241</v>
      </c>
      <c r="D168" s="1"/>
      <c r="E168" s="1"/>
      <c r="F168" s="1"/>
      <c r="G168" s="1"/>
      <c r="H168" s="1"/>
      <c r="I168" s="29"/>
      <c r="J168" s="29"/>
      <c r="K168" s="29"/>
      <c r="L168" s="29"/>
      <c r="M168" s="29">
        <f>D165*M150/D160</f>
        <v>113.50230410192</v>
      </c>
    </row>
    <row r="169" spans="2:13" x14ac:dyDescent="0.25">
      <c r="C169" s="58" t="s">
        <v>242</v>
      </c>
      <c r="I169" s="60">
        <f>SUM(I163:I168)</f>
        <v>390.97488984023119</v>
      </c>
      <c r="J169" s="60">
        <f t="shared" ref="J169:M169" si="93">SUM(J163:J168)</f>
        <v>415.86206199144658</v>
      </c>
      <c r="K169" s="60">
        <f t="shared" si="93"/>
        <v>462.09862854508071</v>
      </c>
      <c r="L169" s="60">
        <f t="shared" si="93"/>
        <v>527.20174767969127</v>
      </c>
      <c r="M169" s="60">
        <f t="shared" si="93"/>
        <v>608.67996730161121</v>
      </c>
    </row>
    <row r="172" spans="2:13" x14ac:dyDescent="0.25">
      <c r="B172" t="s">
        <v>129</v>
      </c>
      <c r="C172" s="14" t="s">
        <v>269</v>
      </c>
      <c r="D172" s="16"/>
      <c r="E172" s="16"/>
      <c r="F172" s="16"/>
      <c r="G172" s="16"/>
      <c r="H172" s="16"/>
      <c r="I172" s="16"/>
      <c r="J172" s="16"/>
      <c r="K172" s="16"/>
      <c r="L172" s="16"/>
      <c r="M172" s="15"/>
    </row>
    <row r="173" spans="2:13" x14ac:dyDescent="0.25">
      <c r="C173" s="40" t="s">
        <v>103</v>
      </c>
      <c r="D173" s="41">
        <v>2021</v>
      </c>
      <c r="E173" s="41">
        <v>2022</v>
      </c>
      <c r="F173" s="41">
        <v>2023</v>
      </c>
      <c r="G173" s="41">
        <v>2024</v>
      </c>
      <c r="H173" s="41">
        <v>2025</v>
      </c>
      <c r="I173" s="42">
        <v>2026</v>
      </c>
      <c r="J173" s="42">
        <v>2027</v>
      </c>
      <c r="K173" s="42">
        <v>2028</v>
      </c>
      <c r="L173" s="42">
        <v>2029</v>
      </c>
      <c r="M173" s="42">
        <v>2030</v>
      </c>
    </row>
    <row r="174" spans="2:13" x14ac:dyDescent="0.25">
      <c r="C174" s="18" t="s">
        <v>104</v>
      </c>
      <c r="D174" s="43">
        <v>44561</v>
      </c>
      <c r="E174" s="43">
        <f>EOMONTH(D174,12)</f>
        <v>44926</v>
      </c>
      <c r="F174" s="43">
        <f t="shared" ref="F174:M174" si="94">EOMONTH(E174,12)</f>
        <v>45291</v>
      </c>
      <c r="G174" s="43">
        <f t="shared" si="94"/>
        <v>45657</v>
      </c>
      <c r="H174" s="43">
        <f t="shared" si="94"/>
        <v>46022</v>
      </c>
      <c r="I174" s="43">
        <f t="shared" si="94"/>
        <v>46387</v>
      </c>
      <c r="J174" s="43">
        <f t="shared" si="94"/>
        <v>46752</v>
      </c>
      <c r="K174" s="43">
        <f t="shared" si="94"/>
        <v>47118</v>
      </c>
      <c r="L174" s="43">
        <f t="shared" si="94"/>
        <v>47483</v>
      </c>
      <c r="M174" s="43">
        <f t="shared" si="94"/>
        <v>47848</v>
      </c>
    </row>
    <row r="176" spans="2:13" x14ac:dyDescent="0.25">
      <c r="C176" t="s">
        <v>205</v>
      </c>
      <c r="D176" s="28"/>
      <c r="E176" s="28">
        <f>D179</f>
        <v>30919.539000000001</v>
      </c>
      <c r="F176" s="28">
        <f t="shared" ref="F176:H176" si="95">E179</f>
        <v>32736.713</v>
      </c>
      <c r="G176" s="28">
        <f t="shared" si="95"/>
        <v>31658.056</v>
      </c>
      <c r="H176" s="28">
        <f t="shared" si="95"/>
        <v>32452.462</v>
      </c>
      <c r="I176" s="28">
        <f t="shared" ref="I176:M176" si="96">H179</f>
        <v>32778.392</v>
      </c>
      <c r="J176" s="28">
        <f t="shared" si="96"/>
        <v>37263.8287690203</v>
      </c>
      <c r="K176" s="28">
        <f t="shared" si="96"/>
        <v>41642.975794131227</v>
      </c>
      <c r="L176" s="28">
        <f t="shared" si="96"/>
        <v>45853.265230258534</v>
      </c>
      <c r="M176" s="28">
        <f t="shared" si="96"/>
        <v>50072.62289057512</v>
      </c>
    </row>
    <row r="177" spans="2:13" x14ac:dyDescent="0.25">
      <c r="C177" t="s">
        <v>212</v>
      </c>
      <c r="D177" s="28"/>
      <c r="E177" s="28">
        <f>E179-E176-E178</f>
        <v>15843.305999999999</v>
      </c>
      <c r="F177" s="28">
        <f t="shared" ref="F177:H177" si="97">F179-F176-F178</f>
        <v>13118.78</v>
      </c>
      <c r="G177" s="28">
        <f t="shared" si="97"/>
        <v>16095.922999999999</v>
      </c>
      <c r="H177" s="28">
        <f t="shared" si="97"/>
        <v>16748.096000000001</v>
      </c>
      <c r="I177" s="28">
        <f t="shared" ref="I177" si="98">I179-I176-I178</f>
        <v>23154.832810181415</v>
      </c>
      <c r="J177" s="28">
        <f t="shared" ref="J177" si="99">J179-J176-J178</f>
        <v>25242.521324411668</v>
      </c>
      <c r="K177" s="28">
        <f t="shared" ref="K177" si="100">K179-K176-K178</f>
        <v>27183.043354420006</v>
      </c>
      <c r="L177" s="28">
        <f t="shared" ref="L177" si="101">L179-L176-L178</f>
        <v>29306.034430928903</v>
      </c>
      <c r="M177" s="28">
        <f t="shared" ref="M177" si="102">M179-M176-M178</f>
        <v>31069.696369256824</v>
      </c>
    </row>
    <row r="178" spans="2:13" x14ac:dyDescent="0.25">
      <c r="C178" s="1" t="s">
        <v>213</v>
      </c>
      <c r="D178" s="33">
        <v>-12230.367</v>
      </c>
      <c r="E178" s="33">
        <v>-14026.132</v>
      </c>
      <c r="F178" s="33">
        <v>-14197.437</v>
      </c>
      <c r="G178" s="33">
        <v>-15301.517</v>
      </c>
      <c r="H178" s="33">
        <v>-16422.166000000001</v>
      </c>
      <c r="I178" s="29">
        <f>H178*(1+I41)</f>
        <v>-18669.396041161115</v>
      </c>
      <c r="J178" s="29">
        <f>I178*(1+J41)</f>
        <v>-20863.37429930074</v>
      </c>
      <c r="K178" s="29">
        <f>J178*(1+K41)</f>
        <v>-22972.753918292699</v>
      </c>
      <c r="L178" s="29">
        <f>K178*(1+L41)</f>
        <v>-25086.676770612317</v>
      </c>
      <c r="M178" s="29">
        <f>L178*(1+M41)</f>
        <v>-27083.689508357966</v>
      </c>
    </row>
    <row r="179" spans="2:13" x14ac:dyDescent="0.25">
      <c r="C179" s="58" t="s">
        <v>207</v>
      </c>
      <c r="D179" s="60">
        <f>D57</f>
        <v>30919.539000000001</v>
      </c>
      <c r="E179" s="60">
        <f>E57</f>
        <v>32736.713</v>
      </c>
      <c r="F179" s="60">
        <f>F57</f>
        <v>31658.056</v>
      </c>
      <c r="G179" s="60">
        <f>G57</f>
        <v>32452.462</v>
      </c>
      <c r="H179" s="60">
        <f>H57</f>
        <v>32778.392</v>
      </c>
      <c r="I179" s="60">
        <f>H179*(1+I41)</f>
        <v>37263.8287690203</v>
      </c>
      <c r="J179" s="60">
        <f>I179*(1+J41)</f>
        <v>41642.975794131227</v>
      </c>
      <c r="K179" s="60">
        <f>J179*(1+K41)</f>
        <v>45853.265230258534</v>
      </c>
      <c r="L179" s="60">
        <f>K179*(1+L41)</f>
        <v>50072.62289057512</v>
      </c>
      <c r="M179" s="60">
        <f>L179*(1+M41)</f>
        <v>54058.629751473978</v>
      </c>
    </row>
    <row r="182" spans="2:13" x14ac:dyDescent="0.25">
      <c r="B182" t="s">
        <v>129</v>
      </c>
      <c r="C182" s="14" t="s">
        <v>209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5"/>
    </row>
    <row r="183" spans="2:13" x14ac:dyDescent="0.25">
      <c r="C183" s="40" t="s">
        <v>103</v>
      </c>
      <c r="D183" s="41">
        <v>2021</v>
      </c>
      <c r="E183" s="41">
        <v>2022</v>
      </c>
      <c r="F183" s="41">
        <v>2023</v>
      </c>
      <c r="G183" s="41">
        <v>2024</v>
      </c>
      <c r="H183" s="41">
        <v>2025</v>
      </c>
      <c r="I183" s="42">
        <v>2026</v>
      </c>
      <c r="J183" s="42">
        <v>2027</v>
      </c>
      <c r="K183" s="42">
        <v>2028</v>
      </c>
      <c r="L183" s="42">
        <v>2029</v>
      </c>
      <c r="M183" s="42">
        <v>2030</v>
      </c>
    </row>
    <row r="184" spans="2:13" x14ac:dyDescent="0.25">
      <c r="C184" s="18" t="s">
        <v>104</v>
      </c>
      <c r="D184" s="43">
        <v>44561</v>
      </c>
      <c r="E184" s="43">
        <f>EOMONTH(D184,12)</f>
        <v>44926</v>
      </c>
      <c r="F184" s="43">
        <f t="shared" ref="F184:M184" si="103">EOMONTH(E184,12)</f>
        <v>45291</v>
      </c>
      <c r="G184" s="43">
        <f t="shared" si="103"/>
        <v>45657</v>
      </c>
      <c r="H184" s="43">
        <f t="shared" si="103"/>
        <v>46022</v>
      </c>
      <c r="I184" s="43">
        <f t="shared" si="103"/>
        <v>46387</v>
      </c>
      <c r="J184" s="43">
        <f t="shared" si="103"/>
        <v>46752</v>
      </c>
      <c r="K184" s="43">
        <f t="shared" si="103"/>
        <v>47118</v>
      </c>
      <c r="L184" s="43">
        <f t="shared" si="103"/>
        <v>47483</v>
      </c>
      <c r="M184" s="43">
        <f t="shared" si="103"/>
        <v>47848</v>
      </c>
    </row>
    <row r="186" spans="2:13" x14ac:dyDescent="0.25">
      <c r="C186" s="66" t="s">
        <v>245</v>
      </c>
      <c r="I186" s="28">
        <f>H55</f>
        <v>9062.3590000000004</v>
      </c>
      <c r="J186" s="28">
        <f t="shared" ref="J186:M186" ca="1" si="104">I55</f>
        <v>9208.1732455558067</v>
      </c>
      <c r="K186" s="28">
        <f t="shared" ca="1" si="104"/>
        <v>11806.299015397715</v>
      </c>
      <c r="L186" s="28">
        <f t="shared" ca="1" si="104"/>
        <v>16813.183522692329</v>
      </c>
      <c r="M186" s="28">
        <f t="shared" ca="1" si="104"/>
        <v>24038.726889397469</v>
      </c>
    </row>
    <row r="187" spans="2:13" x14ac:dyDescent="0.25">
      <c r="C187" s="66" t="s">
        <v>271</v>
      </c>
      <c r="I187" s="28">
        <f ca="1">I95+I98</f>
        <v>9272.9812455558058</v>
      </c>
      <c r="J187" s="28">
        <f t="shared" ref="J187:M187" ca="1" si="105">J95+J98</f>
        <v>11725.292769841908</v>
      </c>
      <c r="K187" s="28">
        <f t="shared" ca="1" si="105"/>
        <v>14134.051507294611</v>
      </c>
      <c r="L187" s="28">
        <f t="shared" ca="1" si="105"/>
        <v>16352.710366705138</v>
      </c>
      <c r="M187" s="28">
        <f t="shared" ca="1" si="105"/>
        <v>19022.104784766518</v>
      </c>
    </row>
    <row r="188" spans="2:13" x14ac:dyDescent="0.25">
      <c r="C188" s="67" t="s">
        <v>246</v>
      </c>
      <c r="D188" s="1"/>
      <c r="E188" s="1"/>
      <c r="F188" s="1"/>
      <c r="G188" s="1"/>
      <c r="H188" s="1"/>
      <c r="I188" s="29">
        <f>-0.02*I13</f>
        <v>-1027.3188</v>
      </c>
      <c r="J188" s="29">
        <f>-0.02*J13</f>
        <v>-1148.0466000000001</v>
      </c>
      <c r="K188" s="29">
        <f>-0.02*K13</f>
        <v>-1264.1192000000001</v>
      </c>
      <c r="L188" s="29">
        <f>-0.02*L13</f>
        <v>-1380.4418000000001</v>
      </c>
      <c r="M188" s="29">
        <f>-0.02*M13</f>
        <v>-1490.3312000000001</v>
      </c>
    </row>
    <row r="189" spans="2:13" x14ac:dyDescent="0.25">
      <c r="C189" s="66" t="s">
        <v>247</v>
      </c>
      <c r="I189" s="28">
        <f ca="1">SUM(I186:I188)</f>
        <v>17308.021445555805</v>
      </c>
      <c r="J189" s="28">
        <f t="shared" ref="J189:M189" ca="1" si="106">SUM(J186:J188)</f>
        <v>19785.419415397715</v>
      </c>
      <c r="K189" s="28">
        <f t="shared" ca="1" si="106"/>
        <v>24676.231322692325</v>
      </c>
      <c r="L189" s="28">
        <f t="shared" ca="1" si="106"/>
        <v>31785.45208939747</v>
      </c>
      <c r="M189" s="28">
        <f t="shared" ca="1" si="106"/>
        <v>41570.500474163986</v>
      </c>
    </row>
    <row r="190" spans="2:13" x14ac:dyDescent="0.25">
      <c r="C190" s="66"/>
      <c r="I190" s="28"/>
      <c r="J190" s="28"/>
      <c r="K190" s="28"/>
      <c r="L190" s="28"/>
      <c r="M190" s="28"/>
    </row>
    <row r="191" spans="2:13" x14ac:dyDescent="0.25">
      <c r="C191" s="65" t="s">
        <v>158</v>
      </c>
      <c r="I191" s="28"/>
      <c r="J191" s="28"/>
      <c r="K191" s="28"/>
      <c r="L191" s="28"/>
      <c r="M191" s="28"/>
    </row>
    <row r="192" spans="2:13" x14ac:dyDescent="0.25">
      <c r="C192" s="66" t="s">
        <v>205</v>
      </c>
      <c r="I192" s="28">
        <f>H65</f>
        <v>998.86500000000001</v>
      </c>
      <c r="J192" s="28">
        <f>I195</f>
        <v>998.86500000000001</v>
      </c>
      <c r="K192" s="28">
        <f t="shared" ref="K192:M192" si="107">J195</f>
        <v>998.86500000000001</v>
      </c>
      <c r="L192" s="28">
        <f t="shared" si="107"/>
        <v>998.86500000000001</v>
      </c>
      <c r="M192" s="28">
        <f t="shared" si="107"/>
        <v>998.86500000000001</v>
      </c>
    </row>
    <row r="193" spans="3:13" x14ac:dyDescent="0.25">
      <c r="C193" s="66" t="s">
        <v>272</v>
      </c>
      <c r="I193" s="32">
        <v>-999</v>
      </c>
      <c r="J193" s="32">
        <v>-999</v>
      </c>
      <c r="K193" s="32">
        <v>-999</v>
      </c>
      <c r="L193" s="32">
        <v>-999</v>
      </c>
      <c r="M193" s="32">
        <v>-999</v>
      </c>
    </row>
    <row r="194" spans="3:13" x14ac:dyDescent="0.25">
      <c r="C194" s="67" t="s">
        <v>273</v>
      </c>
      <c r="D194" s="1"/>
      <c r="E194" s="1"/>
      <c r="F194" s="1"/>
      <c r="G194" s="1"/>
      <c r="H194" s="1"/>
      <c r="I194" s="33">
        <v>999</v>
      </c>
      <c r="J194" s="33">
        <v>999</v>
      </c>
      <c r="K194" s="33">
        <v>999</v>
      </c>
      <c r="L194" s="33">
        <v>999</v>
      </c>
      <c r="M194" s="33">
        <v>999</v>
      </c>
    </row>
    <row r="195" spans="3:13" x14ac:dyDescent="0.25">
      <c r="C195" s="65" t="s">
        <v>207</v>
      </c>
      <c r="I195" s="60">
        <f>SUM(I192:I194)</f>
        <v>998.86500000000001</v>
      </c>
      <c r="J195" s="60">
        <f t="shared" ref="J195:M195" si="108">SUM(J192:J194)</f>
        <v>998.86500000000001</v>
      </c>
      <c r="K195" s="60">
        <f t="shared" si="108"/>
        <v>998.86500000000001</v>
      </c>
      <c r="L195" s="60">
        <f t="shared" si="108"/>
        <v>998.86500000000001</v>
      </c>
      <c r="M195" s="60">
        <f t="shared" si="108"/>
        <v>998.86500000000001</v>
      </c>
    </row>
    <row r="196" spans="3:13" x14ac:dyDescent="0.25">
      <c r="C196" s="65"/>
      <c r="I196" s="28"/>
      <c r="J196" s="28"/>
      <c r="K196" s="28"/>
      <c r="L196" s="28"/>
      <c r="M196" s="28"/>
    </row>
    <row r="197" spans="3:13" x14ac:dyDescent="0.25">
      <c r="C197" s="65" t="s">
        <v>159</v>
      </c>
      <c r="I197" s="28"/>
      <c r="J197" s="28"/>
      <c r="K197" s="28"/>
      <c r="L197" s="28"/>
      <c r="M197" s="28"/>
    </row>
    <row r="198" spans="3:13" x14ac:dyDescent="0.25">
      <c r="C198" s="66" t="s">
        <v>205</v>
      </c>
      <c r="I198" s="28">
        <f>H67</f>
        <v>13463.971</v>
      </c>
      <c r="J198" s="28">
        <f>I201</f>
        <v>13463.971</v>
      </c>
      <c r="K198" s="28">
        <f t="shared" ref="K198:M198" si="109">J201</f>
        <v>13463.971</v>
      </c>
      <c r="L198" s="28">
        <f t="shared" si="109"/>
        <v>13463.971</v>
      </c>
      <c r="M198" s="28">
        <f t="shared" si="109"/>
        <v>13463.971</v>
      </c>
    </row>
    <row r="199" spans="3:13" x14ac:dyDescent="0.25">
      <c r="C199" s="66" t="s">
        <v>272</v>
      </c>
      <c r="I199" s="32">
        <v>-999</v>
      </c>
      <c r="J199" s="32">
        <v>-999</v>
      </c>
      <c r="K199" s="32">
        <v>-999</v>
      </c>
      <c r="L199" s="32">
        <v>-999</v>
      </c>
      <c r="M199" s="32">
        <v>-999</v>
      </c>
    </row>
    <row r="200" spans="3:13" x14ac:dyDescent="0.25">
      <c r="C200" s="67" t="s">
        <v>273</v>
      </c>
      <c r="D200" s="1"/>
      <c r="E200" s="1"/>
      <c r="F200" s="1"/>
      <c r="G200" s="1"/>
      <c r="H200" s="1"/>
      <c r="I200" s="33">
        <v>999</v>
      </c>
      <c r="J200" s="33">
        <v>999</v>
      </c>
      <c r="K200" s="33">
        <v>999</v>
      </c>
      <c r="L200" s="33">
        <v>999</v>
      </c>
      <c r="M200" s="33">
        <v>999</v>
      </c>
    </row>
    <row r="201" spans="3:13" x14ac:dyDescent="0.25">
      <c r="C201" s="65" t="s">
        <v>207</v>
      </c>
      <c r="I201" s="60">
        <f>SUM(I198:I200)</f>
        <v>13463.971</v>
      </c>
      <c r="J201" s="60">
        <f t="shared" ref="J201:M201" si="110">SUM(J198:J200)</f>
        <v>13463.971</v>
      </c>
      <c r="K201" s="60">
        <f t="shared" si="110"/>
        <v>13463.971</v>
      </c>
      <c r="L201" s="60">
        <f t="shared" si="110"/>
        <v>13463.971</v>
      </c>
      <c r="M201" s="60">
        <f t="shared" si="110"/>
        <v>13463.971</v>
      </c>
    </row>
    <row r="202" spans="3:13" x14ac:dyDescent="0.25">
      <c r="C202" s="66" t="s">
        <v>115</v>
      </c>
      <c r="I202" s="28">
        <f>IF($D$5=1,AVERAGE((I67+I65),(H67+H65))*I203,0)</f>
        <v>747.56515636611505</v>
      </c>
      <c r="J202" s="28">
        <f t="shared" ref="J202:M202" si="111">IF($D$5=1,AVERAGE((J67+J65),(I67+I65))*J203,0)</f>
        <v>747.56515636611505</v>
      </c>
      <c r="K202" s="28">
        <f t="shared" si="111"/>
        <v>747.56515636611505</v>
      </c>
      <c r="L202" s="28">
        <f t="shared" si="111"/>
        <v>747.56515636611505</v>
      </c>
      <c r="M202" s="28">
        <f t="shared" si="111"/>
        <v>747.56515636611505</v>
      </c>
    </row>
    <row r="203" spans="3:13" x14ac:dyDescent="0.25">
      <c r="C203" s="66" t="s">
        <v>248</v>
      </c>
      <c r="I203" s="54">
        <f>-H21/AVERAGE((H67+H65),(G67+G65))</f>
        <v>5.1688697594725892E-2</v>
      </c>
      <c r="J203" s="54">
        <f>I203</f>
        <v>5.1688697594725892E-2</v>
      </c>
      <c r="K203" s="54">
        <f t="shared" ref="K203:M203" si="112">J203</f>
        <v>5.1688697594725892E-2</v>
      </c>
      <c r="L203" s="54">
        <f t="shared" si="112"/>
        <v>5.1688697594725892E-2</v>
      </c>
      <c r="M203" s="54">
        <f t="shared" si="112"/>
        <v>5.1688697594725892E-2</v>
      </c>
    </row>
    <row r="204" spans="3:13" x14ac:dyDescent="0.25">
      <c r="C204" s="66"/>
      <c r="I204" s="53"/>
      <c r="J204" s="53"/>
      <c r="K204" s="53"/>
      <c r="L204" s="53"/>
      <c r="M204" s="53"/>
    </row>
    <row r="205" spans="3:13" x14ac:dyDescent="0.25">
      <c r="C205" s="66" t="s">
        <v>249</v>
      </c>
      <c r="I205" s="57">
        <f ca="1">IF($D$5=1,AVERAGE(I55,H55)*I206,0)</f>
        <v>289.05817251625314</v>
      </c>
      <c r="J205" s="57">
        <f t="shared" ref="J205:M205" ca="1" si="113">IF($D$5=1,AVERAGE(J55,I55)*J206,0)</f>
        <v>332.4700597938126</v>
      </c>
      <c r="K205" s="57">
        <f t="shared" ca="1" si="113"/>
        <v>452.78896146188674</v>
      </c>
      <c r="L205" s="57">
        <f t="shared" ca="1" si="113"/>
        <v>646.31825766262148</v>
      </c>
      <c r="M205" s="57">
        <f t="shared" ca="1" si="113"/>
        <v>917.18146666667894</v>
      </c>
    </row>
    <row r="206" spans="3:13" x14ac:dyDescent="0.25">
      <c r="C206" s="66" t="s">
        <v>248</v>
      </c>
      <c r="I206" s="54">
        <f>H22/AVERAGE(H55,G55)</f>
        <v>3.1642008960802416E-2</v>
      </c>
      <c r="J206" s="54">
        <f>I206</f>
        <v>3.1642008960802416E-2</v>
      </c>
      <c r="K206" s="54">
        <f t="shared" ref="K206:M206" si="114">J206</f>
        <v>3.1642008960802416E-2</v>
      </c>
      <c r="L206" s="54">
        <f t="shared" si="114"/>
        <v>3.1642008960802416E-2</v>
      </c>
      <c r="M206" s="54">
        <f t="shared" si="114"/>
        <v>3.1642008960802416E-2</v>
      </c>
    </row>
    <row r="207" spans="3:13" s="55" customFormat="1" x14ac:dyDescent="0.25"/>
    <row r="209" spans="2:13" x14ac:dyDescent="0.25">
      <c r="B209" t="s">
        <v>129</v>
      </c>
      <c r="C209" s="14" t="s">
        <v>145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5"/>
    </row>
    <row r="210" spans="2:13" x14ac:dyDescent="0.25">
      <c r="C210" s="40" t="s">
        <v>103</v>
      </c>
      <c r="D210" s="41">
        <v>2021</v>
      </c>
      <c r="E210" s="41">
        <v>2022</v>
      </c>
      <c r="F210" s="41">
        <v>2023</v>
      </c>
      <c r="G210" s="41">
        <v>2024</v>
      </c>
      <c r="H210" s="41">
        <v>2025</v>
      </c>
      <c r="I210" s="42">
        <v>2026</v>
      </c>
      <c r="J210" s="42">
        <v>2027</v>
      </c>
      <c r="K210" s="42">
        <v>2028</v>
      </c>
      <c r="L210" s="42">
        <v>2029</v>
      </c>
      <c r="M210" s="42">
        <v>2030</v>
      </c>
    </row>
    <row r="211" spans="2:13" x14ac:dyDescent="0.25">
      <c r="C211" s="18" t="s">
        <v>104</v>
      </c>
      <c r="D211" s="43">
        <v>44561</v>
      </c>
      <c r="E211" s="43">
        <f>EOMONTH(D211,12)</f>
        <v>44926</v>
      </c>
      <c r="F211" s="43">
        <f t="shared" ref="F211:M211" si="115">EOMONTH(E211,12)</f>
        <v>45291</v>
      </c>
      <c r="G211" s="43">
        <f t="shared" si="115"/>
        <v>45657</v>
      </c>
      <c r="H211" s="43">
        <f t="shared" si="115"/>
        <v>46022</v>
      </c>
      <c r="I211" s="43">
        <f t="shared" si="115"/>
        <v>46387</v>
      </c>
      <c r="J211" s="43">
        <f t="shared" si="115"/>
        <v>46752</v>
      </c>
      <c r="K211" s="43">
        <f t="shared" si="115"/>
        <v>47118</v>
      </c>
      <c r="L211" s="43">
        <f t="shared" si="115"/>
        <v>47483</v>
      </c>
      <c r="M211" s="43">
        <f t="shared" si="115"/>
        <v>47848</v>
      </c>
    </row>
    <row r="213" spans="2:13" x14ac:dyDescent="0.25">
      <c r="C213" t="s">
        <v>205</v>
      </c>
      <c r="D213" s="28"/>
      <c r="E213" s="28"/>
      <c r="F213" s="28"/>
      <c r="G213" s="28"/>
      <c r="H213" s="28"/>
      <c r="I213" s="28">
        <f>H215</f>
        <v>42282.118000000002</v>
      </c>
      <c r="J213" s="28">
        <f t="shared" ref="J213:M213" ca="1" si="116">I215</f>
        <v>55818.565349495999</v>
      </c>
      <c r="K213" s="28">
        <f t="shared" ca="1" si="116"/>
        <v>71699.598470971236</v>
      </c>
      <c r="L213" s="28">
        <f t="shared" ca="1" si="116"/>
        <v>89861.509892096219</v>
      </c>
      <c r="M213" s="28">
        <f t="shared" ca="1" si="116"/>
        <v>110194.85032307357</v>
      </c>
    </row>
    <row r="214" spans="2:13" x14ac:dyDescent="0.25">
      <c r="C214" s="1" t="s">
        <v>250</v>
      </c>
      <c r="D214" s="29"/>
      <c r="E214" s="29"/>
      <c r="F214" s="29"/>
      <c r="G214" s="29"/>
      <c r="H214" s="29"/>
      <c r="I214" s="29">
        <f ca="1">I27</f>
        <v>13536.447349495998</v>
      </c>
      <c r="J214" s="29">
        <f ca="1">J27</f>
        <v>15881.033121475233</v>
      </c>
      <c r="K214" s="29">
        <f ca="1">K27</f>
        <v>18161.911421124987</v>
      </c>
      <c r="L214" s="29">
        <f ca="1">L27</f>
        <v>20333.340430977343</v>
      </c>
      <c r="M214" s="29">
        <f ca="1">M27</f>
        <v>22816.335540145032</v>
      </c>
    </row>
    <row r="215" spans="2:13" x14ac:dyDescent="0.25">
      <c r="C215" s="58" t="s">
        <v>207</v>
      </c>
      <c r="D215" s="60"/>
      <c r="E215" s="60"/>
      <c r="F215" s="60"/>
      <c r="G215" s="60"/>
      <c r="H215" s="60">
        <f>H73</f>
        <v>42282.118000000002</v>
      </c>
      <c r="I215" s="60">
        <f ca="1">SUM(I213:I214)</f>
        <v>55818.565349495999</v>
      </c>
      <c r="J215" s="60">
        <f ca="1">SUM(J213:J214)</f>
        <v>71699.598470971236</v>
      </c>
      <c r="K215" s="60">
        <f ca="1">SUM(K213:K214)</f>
        <v>89861.509892096219</v>
      </c>
      <c r="L215" s="60">
        <f ca="1">SUM(L213:L214)</f>
        <v>110194.85032307357</v>
      </c>
      <c r="M215" s="60">
        <f ca="1">SUM(M213:M214)</f>
        <v>133011.18586321859</v>
      </c>
    </row>
    <row r="216" spans="2:13" x14ac:dyDescent="0.25">
      <c r="E216" s="28"/>
    </row>
    <row r="218" spans="2:13" x14ac:dyDescent="0.25">
      <c r="B218" t="s">
        <v>129</v>
      </c>
      <c r="C218" s="14" t="s">
        <v>210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5"/>
    </row>
    <row r="219" spans="2:13" x14ac:dyDescent="0.25">
      <c r="C219" s="40" t="s">
        <v>103</v>
      </c>
      <c r="D219" s="41">
        <v>2021</v>
      </c>
      <c r="E219" s="41">
        <v>2022</v>
      </c>
      <c r="F219" s="41">
        <v>2023</v>
      </c>
      <c r="G219" s="41">
        <v>2024</v>
      </c>
      <c r="H219" s="41">
        <v>2025</v>
      </c>
      <c r="I219" s="42">
        <v>2026</v>
      </c>
      <c r="J219" s="42">
        <v>2027</v>
      </c>
      <c r="K219" s="42">
        <v>2028</v>
      </c>
      <c r="L219" s="42">
        <v>2029</v>
      </c>
      <c r="M219" s="42">
        <v>2030</v>
      </c>
    </row>
    <row r="220" spans="2:13" x14ac:dyDescent="0.25">
      <c r="C220" s="18" t="s">
        <v>104</v>
      </c>
      <c r="D220" s="43">
        <v>44561</v>
      </c>
      <c r="E220" s="43">
        <f>EOMONTH(D220,12)</f>
        <v>44926</v>
      </c>
      <c r="F220" s="43">
        <f t="shared" ref="F220:M220" si="117">EOMONTH(E220,12)</f>
        <v>45291</v>
      </c>
      <c r="G220" s="43">
        <f t="shared" si="117"/>
        <v>45657</v>
      </c>
      <c r="H220" s="43">
        <f t="shared" si="117"/>
        <v>46022</v>
      </c>
      <c r="I220" s="43">
        <f t="shared" si="117"/>
        <v>46387</v>
      </c>
      <c r="J220" s="43">
        <f t="shared" si="117"/>
        <v>46752</v>
      </c>
      <c r="K220" s="43">
        <f t="shared" si="117"/>
        <v>47118</v>
      </c>
      <c r="L220" s="43">
        <f t="shared" si="117"/>
        <v>47483</v>
      </c>
      <c r="M220" s="43">
        <f t="shared" si="117"/>
        <v>47848</v>
      </c>
    </row>
    <row r="222" spans="2:13" x14ac:dyDescent="0.25">
      <c r="C222" s="66" t="s">
        <v>79</v>
      </c>
      <c r="D222" s="28">
        <f>D27</f>
        <v>5116.2279999999992</v>
      </c>
      <c r="E222" s="28">
        <f>E27</f>
        <v>4491.924</v>
      </c>
      <c r="F222" s="28">
        <f>F27</f>
        <v>5407.9900000000007</v>
      </c>
      <c r="G222" s="28">
        <f>G27</f>
        <v>8711.6310000000012</v>
      </c>
      <c r="H222" s="28">
        <f>H27</f>
        <v>10981.200999999999</v>
      </c>
      <c r="I222" s="28">
        <f ca="1">I27</f>
        <v>13536.447349495998</v>
      </c>
      <c r="J222" s="28">
        <f ca="1">J27</f>
        <v>15881.033121475233</v>
      </c>
      <c r="K222" s="28">
        <f ca="1">K27</f>
        <v>18161.911421124987</v>
      </c>
      <c r="L222" s="28">
        <f ca="1">L27</f>
        <v>20333.340430977343</v>
      </c>
      <c r="M222" s="28">
        <f ca="1">M27</f>
        <v>22816.335540145032</v>
      </c>
    </row>
    <row r="223" spans="2:13" x14ac:dyDescent="0.25">
      <c r="C223" s="66" t="s">
        <v>251</v>
      </c>
      <c r="D223" s="32">
        <v>443.15499999999997</v>
      </c>
      <c r="E223" s="32">
        <v>444.69799999999998</v>
      </c>
      <c r="F223" s="32">
        <v>4415.7120000000004</v>
      </c>
      <c r="G223" s="32">
        <v>4295.1909999999998</v>
      </c>
      <c r="H223" s="32">
        <v>4249.5119999999997</v>
      </c>
      <c r="I223" s="28">
        <f ca="1">AVERAGE($D$7,$D$7+(I230+I229)/I231)</f>
        <v>4184.4890915914712</v>
      </c>
      <c r="J223" s="28">
        <f t="shared" ref="J223:M223" ca="1" si="118">AVERAGE($D$7,$D$7+(J230+J229)/J231)</f>
        <v>4190.2324394563339</v>
      </c>
      <c r="K223" s="28">
        <f t="shared" ca="1" si="118"/>
        <v>4194.3949536479868</v>
      </c>
      <c r="L223" s="28">
        <f t="shared" ca="1" si="118"/>
        <v>4197.4968490406236</v>
      </c>
      <c r="M223" s="28">
        <f t="shared" ca="1" si="118"/>
        <v>4200.2960547805687</v>
      </c>
    </row>
    <row r="224" spans="2:13" x14ac:dyDescent="0.25">
      <c r="C224" s="66" t="s">
        <v>124</v>
      </c>
      <c r="D224" s="82">
        <f>D222/D223</f>
        <v>11.545007954327492</v>
      </c>
      <c r="E224" s="82">
        <f t="shared" ref="E224:H224" si="119">E222/E223</f>
        <v>10.101066341652087</v>
      </c>
      <c r="F224" s="82">
        <f t="shared" si="119"/>
        <v>1.2247152894029321</v>
      </c>
      <c r="G224" s="82">
        <f t="shared" si="119"/>
        <v>2.0282290124001476</v>
      </c>
      <c r="H224" s="82">
        <f t="shared" si="119"/>
        <v>2.5841087164832102</v>
      </c>
      <c r="I224" s="82">
        <f t="shared" ref="I224" ca="1" si="120">I222/I223</f>
        <v>3.2349104163509077</v>
      </c>
      <c r="J224" s="82">
        <f t="shared" ref="J224" ca="1" si="121">J222/J223</f>
        <v>3.7900124517998659</v>
      </c>
      <c r="K224" s="82">
        <f t="shared" ref="K224" ca="1" si="122">K222/K223</f>
        <v>4.3300432176347741</v>
      </c>
      <c r="L224" s="82">
        <f t="shared" ref="L224" ca="1" si="123">L222/L223</f>
        <v>4.8441585931445585</v>
      </c>
      <c r="M224" s="82">
        <f t="shared" ref="M224" ca="1" si="124">M222/M223</f>
        <v>5.4320779398815491</v>
      </c>
    </row>
    <row r="225" spans="3:13" x14ac:dyDescent="0.25">
      <c r="C225" s="66"/>
    </row>
    <row r="226" spans="3:13" x14ac:dyDescent="0.25">
      <c r="C226" s="66" t="s">
        <v>252</v>
      </c>
      <c r="D226" s="32">
        <v>455.37200000000001</v>
      </c>
      <c r="E226" s="32">
        <v>451.29</v>
      </c>
      <c r="F226" s="32">
        <v>4494.9660000000003</v>
      </c>
      <c r="G226" s="32">
        <v>4392.6080000000002</v>
      </c>
      <c r="H226" s="93">
        <f>Shares!L31</f>
        <v>4304.8428177451278</v>
      </c>
      <c r="I226" s="28">
        <f ca="1">I223+H226-H223</f>
        <v>4239.8199093365993</v>
      </c>
      <c r="J226" s="28">
        <f t="shared" ref="J226:M226" ca="1" si="125">J223+I226-I223</f>
        <v>4245.563257201462</v>
      </c>
      <c r="K226" s="28">
        <f t="shared" ca="1" si="125"/>
        <v>4249.7257713931149</v>
      </c>
      <c r="L226" s="28">
        <f t="shared" ca="1" si="125"/>
        <v>4252.8276667857517</v>
      </c>
      <c r="M226" s="28">
        <f t="shared" ca="1" si="125"/>
        <v>4255.6268725256969</v>
      </c>
    </row>
    <row r="227" spans="3:13" x14ac:dyDescent="0.25">
      <c r="C227" s="66" t="s">
        <v>125</v>
      </c>
      <c r="D227" s="82">
        <f>D222/D226</f>
        <v>11.235271382518027</v>
      </c>
      <c r="E227" s="82">
        <f t="shared" ref="E227:H227" si="126">E222/E226</f>
        <v>9.9535199095925009</v>
      </c>
      <c r="F227" s="82">
        <f t="shared" si="126"/>
        <v>1.2031214474147303</v>
      </c>
      <c r="G227" s="82">
        <f t="shared" si="126"/>
        <v>1.9832479929918629</v>
      </c>
      <c r="H227" s="82">
        <f t="shared" si="126"/>
        <v>2.5508947631569834</v>
      </c>
      <c r="I227" s="82">
        <f t="shared" ref="I227" ca="1" si="127">I222/I226</f>
        <v>3.1926939443081284</v>
      </c>
      <c r="J227" s="82">
        <f t="shared" ref="J227" ca="1" si="128">J222/J226</f>
        <v>3.7406186551424736</v>
      </c>
      <c r="K227" s="82">
        <f t="shared" ref="K227" ca="1" si="129">K222/K226</f>
        <v>4.2736666783022281</v>
      </c>
      <c r="L227" s="82">
        <f t="shared" ref="L227" ca="1" si="130">L222/L226</f>
        <v>4.7811343473376846</v>
      </c>
      <c r="M227" s="82">
        <f t="shared" ref="M227" ca="1" si="131">M222/M226</f>
        <v>5.3614511383615806</v>
      </c>
    </row>
    <row r="228" spans="3:13" x14ac:dyDescent="0.25">
      <c r="C228" s="66"/>
      <c r="D228" s="34"/>
      <c r="E228" s="34"/>
      <c r="F228" s="34"/>
      <c r="G228" s="34"/>
      <c r="H228" s="34"/>
      <c r="I228" s="31"/>
      <c r="J228" s="31"/>
      <c r="K228" s="31"/>
      <c r="L228" s="31"/>
      <c r="M228" s="31"/>
    </row>
    <row r="229" spans="3:13" x14ac:dyDescent="0.25">
      <c r="C229" s="66" t="s">
        <v>268</v>
      </c>
      <c r="H229" s="83">
        <v>-9127.1669999999995</v>
      </c>
      <c r="I229" s="83">
        <f>H229</f>
        <v>-9127.1669999999995</v>
      </c>
      <c r="J229" s="83">
        <f t="shared" ref="J229:M229" si="132">I229</f>
        <v>-9127.1669999999995</v>
      </c>
      <c r="K229" s="83">
        <f t="shared" si="132"/>
        <v>-9127.1669999999995</v>
      </c>
      <c r="L229" s="83">
        <f t="shared" si="132"/>
        <v>-9127.1669999999995</v>
      </c>
      <c r="M229" s="83">
        <f t="shared" si="132"/>
        <v>-9127.1669999999995</v>
      </c>
    </row>
    <row r="230" spans="3:13" x14ac:dyDescent="0.25">
      <c r="C230" s="66" t="s">
        <v>254</v>
      </c>
      <c r="H230" s="28">
        <f>H37</f>
        <v>368.44900000000001</v>
      </c>
      <c r="I230" s="28">
        <f>I37</f>
        <v>418.86802885622825</v>
      </c>
      <c r="J230" s="28">
        <f>J37</f>
        <v>468.09229654620816</v>
      </c>
      <c r="K230" s="28">
        <f>K37</f>
        <v>515.41850255569364</v>
      </c>
      <c r="L230" s="28">
        <f>L37</f>
        <v>562.84664090323633</v>
      </c>
      <c r="M230" s="28">
        <f>M37</f>
        <v>607.65177478202224</v>
      </c>
    </row>
    <row r="231" spans="3:13" x14ac:dyDescent="0.25">
      <c r="C231" s="66" t="s">
        <v>255</v>
      </c>
      <c r="H231" s="35">
        <v>93.76</v>
      </c>
      <c r="I231" s="82">
        <f ca="1">H231*(1+I232)</f>
        <v>115.57727642802867</v>
      </c>
      <c r="J231" s="82">
        <f t="shared" ref="J231:M231" ca="1" si="133">I231*(1+J232)</f>
        <v>135.59588477339753</v>
      </c>
      <c r="K231" s="82">
        <f t="shared" ca="1" si="133"/>
        <v>155.07054418225098</v>
      </c>
      <c r="L231" s="82">
        <f t="shared" ca="1" si="133"/>
        <v>173.61070057896541</v>
      </c>
      <c r="M231" s="82">
        <f t="shared" ca="1" si="133"/>
        <v>194.8110794296542</v>
      </c>
    </row>
    <row r="232" spans="3:13" x14ac:dyDescent="0.25">
      <c r="C232" s="66" t="s">
        <v>256</v>
      </c>
      <c r="I232" s="51">
        <f ca="1">I27/H27-1</f>
        <v>0.23269279466754123</v>
      </c>
      <c r="J232" s="51">
        <f ca="1">J27/I27-1</f>
        <v>0.17320539957380543</v>
      </c>
      <c r="K232" s="51">
        <f ca="1">K27/J27-1</f>
        <v>0.14362279092318131</v>
      </c>
      <c r="L232" s="51">
        <f ca="1">L27/K27-1</f>
        <v>0.11955949786907683</v>
      </c>
      <c r="M232" s="51">
        <f ca="1">M27/L27-1</f>
        <v>0.12211447093980232</v>
      </c>
    </row>
    <row r="234" spans="3:13" x14ac:dyDescent="0.25">
      <c r="C234" s="66" t="s">
        <v>297</v>
      </c>
      <c r="H234" s="34">
        <v>2.5299999999999998</v>
      </c>
      <c r="I234" s="34">
        <v>3.14</v>
      </c>
      <c r="J234" s="34">
        <v>3.84</v>
      </c>
      <c r="K234" s="34">
        <v>4.53</v>
      </c>
      <c r="L234" s="34">
        <v>5.21</v>
      </c>
      <c r="M234" s="34">
        <v>5.88</v>
      </c>
    </row>
  </sheetData>
  <dataValidations count="3">
    <dataValidation type="list" allowBlank="1" showInputMessage="1" showErrorMessage="1" sqref="D165" xr:uid="{A7E25D0B-BB37-4134-9269-FEA522919A42}">
      <formula1>"0.5,1"</formula1>
    </dataValidation>
    <dataValidation type="list" allowBlank="1" showInputMessage="1" showErrorMessage="1" sqref="D119 D129 D139" xr:uid="{5D46BC70-7F31-4DCA-B88C-4468E7865925}">
      <formula1>"1,2"</formula1>
    </dataValidation>
    <dataValidation type="list" allowBlank="1" showInputMessage="1" showErrorMessage="1" sqref="D5" xr:uid="{86A558D7-614F-4225-8D1B-CF518B8BA0BB}">
      <formula1>"0,1"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0AAF8-0D70-45E5-BA07-7DD7B489DD63}">
  <dimension ref="B2:L84"/>
  <sheetViews>
    <sheetView showGridLines="0" topLeftCell="A66" workbookViewId="0">
      <selection activeCell="D78" sqref="D78"/>
    </sheetView>
  </sheetViews>
  <sheetFormatPr defaultRowHeight="15" x14ac:dyDescent="0.25"/>
  <cols>
    <col min="1" max="2" width="2.140625" customWidth="1"/>
    <col min="3" max="3" width="52.7109375" customWidth="1"/>
    <col min="4" max="8" width="16.42578125" customWidth="1"/>
  </cols>
  <sheetData>
    <row r="2" spans="2:9" ht="19.5" x14ac:dyDescent="0.3">
      <c r="C2" s="22" t="s">
        <v>164</v>
      </c>
      <c r="D2" s="23"/>
      <c r="E2" s="23"/>
      <c r="F2" s="23"/>
      <c r="G2" s="23"/>
      <c r="H2" s="23"/>
      <c r="I2" s="6"/>
    </row>
    <row r="3" spans="2:9" x14ac:dyDescent="0.25">
      <c r="C3" s="25" t="s">
        <v>101</v>
      </c>
      <c r="D3" s="13"/>
      <c r="E3" s="13"/>
      <c r="F3" s="13"/>
      <c r="G3" s="13"/>
      <c r="H3" s="13"/>
      <c r="I3" s="6"/>
    </row>
    <row r="5" spans="2:9" x14ac:dyDescent="0.25">
      <c r="B5" t="s">
        <v>129</v>
      </c>
      <c r="C5" s="14" t="s">
        <v>105</v>
      </c>
      <c r="D5" s="16"/>
      <c r="E5" s="16"/>
      <c r="F5" s="16"/>
      <c r="G5" s="16"/>
      <c r="H5" s="15"/>
    </row>
    <row r="6" spans="2:9" x14ac:dyDescent="0.25">
      <c r="C6" s="40" t="s">
        <v>103</v>
      </c>
      <c r="D6" s="42">
        <v>2026</v>
      </c>
      <c r="E6" s="42">
        <v>2027</v>
      </c>
      <c r="F6" s="42">
        <v>2028</v>
      </c>
      <c r="G6" s="42">
        <v>2029</v>
      </c>
      <c r="H6" s="42">
        <v>2030</v>
      </c>
    </row>
    <row r="7" spans="2:9" x14ac:dyDescent="0.25">
      <c r="C7" s="18" t="s">
        <v>104</v>
      </c>
      <c r="D7" s="43">
        <v>46387</v>
      </c>
      <c r="E7" s="43">
        <f t="shared" ref="E7:H7" si="0">EOMONTH(D7,12)</f>
        <v>46752</v>
      </c>
      <c r="F7" s="43">
        <f t="shared" si="0"/>
        <v>47118</v>
      </c>
      <c r="G7" s="43">
        <f t="shared" si="0"/>
        <v>47483</v>
      </c>
      <c r="H7" s="43">
        <f t="shared" si="0"/>
        <v>47848</v>
      </c>
    </row>
    <row r="9" spans="2:9" x14ac:dyDescent="0.25">
      <c r="C9" t="s">
        <v>106</v>
      </c>
      <c r="D9" s="28">
        <f>'Target Financials'!I13+'Acquirer Financials'!I13+'M&amp;A'!$D$41</f>
        <v>91298.09</v>
      </c>
      <c r="E9" s="28">
        <f>'Target Financials'!J13+'Acquirer Financials'!J13+'M&amp;A'!$D$41</f>
        <v>98027.83</v>
      </c>
      <c r="F9" s="28">
        <f>'Target Financials'!K13+'Acquirer Financials'!K13+'M&amp;A'!$D$41</f>
        <v>104449.35</v>
      </c>
      <c r="G9" s="28">
        <f>'Target Financials'!L13+'Acquirer Financials'!L13+'M&amp;A'!$D$41</f>
        <v>110347.06</v>
      </c>
      <c r="H9" s="28">
        <f>'Target Financials'!M13+'Acquirer Financials'!M13+'M&amp;A'!$D$41</f>
        <v>116353.38</v>
      </c>
    </row>
    <row r="10" spans="2:9" x14ac:dyDescent="0.25">
      <c r="C10" s="37" t="s">
        <v>313</v>
      </c>
      <c r="D10" s="113">
        <f>D9/('Target Financials'!H13+'Acquirer Financials'!H13)-1</f>
        <v>0.10692479480482775</v>
      </c>
      <c r="E10" s="113">
        <f>E9/D9-1</f>
        <v>7.3711728251927289E-2</v>
      </c>
      <c r="F10" s="113">
        <f t="shared" ref="F10:H10" si="1">F9/E9-1</f>
        <v>6.5507111602898904E-2</v>
      </c>
      <c r="G10" s="113">
        <f t="shared" si="1"/>
        <v>5.6464784127426171E-2</v>
      </c>
      <c r="H10" s="113">
        <f t="shared" si="1"/>
        <v>5.4431173789315279E-2</v>
      </c>
    </row>
    <row r="11" spans="2:9" x14ac:dyDescent="0.25">
      <c r="C11" t="s">
        <v>107</v>
      </c>
      <c r="D11" s="28">
        <f>'Target Financials'!I14+'Acquirer Financials'!I14</f>
        <v>-47169.082856000008</v>
      </c>
      <c r="E11" s="28">
        <f>'Target Financials'!J14+'Acquirer Financials'!J14</f>
        <v>-49267.860861000008</v>
      </c>
      <c r="F11" s="28">
        <f>'Target Financials'!K14+'Acquirer Financials'!K14</f>
        <v>-52245.272429999997</v>
      </c>
      <c r="G11" s="28">
        <f>'Target Financials'!L14+'Acquirer Financials'!L14</f>
        <v>-54601.676028000009</v>
      </c>
      <c r="H11" s="28">
        <f>'Target Financials'!M14+'Acquirer Financials'!M14</f>
        <v>-56615.360151999994</v>
      </c>
    </row>
    <row r="12" spans="2:9" x14ac:dyDescent="0.25">
      <c r="C12" s="52" t="s">
        <v>312</v>
      </c>
      <c r="D12" s="114">
        <f>-D11/D9</f>
        <v>0.51664917476367811</v>
      </c>
      <c r="E12" s="114">
        <f>-E11/E9</f>
        <v>0.50259054863297503</v>
      </c>
      <c r="F12" s="114">
        <f>-F11/F9</f>
        <v>0.50019720017405556</v>
      </c>
      <c r="G12" s="114">
        <f>-G11/G9</f>
        <v>0.49481767822359751</v>
      </c>
      <c r="H12" s="114">
        <f>-H11/H9</f>
        <v>0.48658113887194332</v>
      </c>
    </row>
    <row r="13" spans="2:9" x14ac:dyDescent="0.25">
      <c r="C13" s="2" t="s">
        <v>108</v>
      </c>
      <c r="D13" s="60">
        <f>D9+D11</f>
        <v>44129.007143999988</v>
      </c>
      <c r="E13" s="60">
        <f t="shared" ref="E13:H13" si="2">E9+E11</f>
        <v>48759.969138999993</v>
      </c>
      <c r="F13" s="60">
        <f t="shared" si="2"/>
        <v>52204.077570000009</v>
      </c>
      <c r="G13" s="60">
        <f t="shared" si="2"/>
        <v>55745.383971999989</v>
      </c>
      <c r="H13" s="60">
        <f t="shared" si="2"/>
        <v>59738.019848000011</v>
      </c>
    </row>
    <row r="14" spans="2:9" x14ac:dyDescent="0.25">
      <c r="C14" s="37" t="s">
        <v>311</v>
      </c>
      <c r="D14" s="113">
        <f>D13/D9</f>
        <v>0.48335082523632195</v>
      </c>
      <c r="E14" s="113">
        <f t="shared" ref="E14:H14" si="3">E13/E9</f>
        <v>0.49740945136702497</v>
      </c>
      <c r="F14" s="113">
        <f t="shared" si="3"/>
        <v>0.49980279982594439</v>
      </c>
      <c r="G14" s="113">
        <f t="shared" si="3"/>
        <v>0.50518232177640243</v>
      </c>
      <c r="H14" s="113">
        <f t="shared" si="3"/>
        <v>0.51341886112805668</v>
      </c>
    </row>
    <row r="15" spans="2:9" x14ac:dyDescent="0.25">
      <c r="C15" t="s">
        <v>298</v>
      </c>
      <c r="D15" s="28">
        <f>'Target Financials'!I20+'Acquirer Financials'!I19-'M&amp;A'!G22</f>
        <v>-25242.826220991643</v>
      </c>
      <c r="E15" s="28">
        <f>'Target Financials'!J20+'Acquirer Financials'!J19</f>
        <v>-25263.494345817711</v>
      </c>
      <c r="F15" s="28">
        <f>'Target Financials'!K20+'Acquirer Financials'!K19</f>
        <v>-25854.993378373925</v>
      </c>
      <c r="G15" s="28">
        <f>'Target Financials'!L20+'Acquirer Financials'!L19</f>
        <v>-26753.427024454926</v>
      </c>
      <c r="H15" s="28">
        <f>'Target Financials'!M20+'Acquirer Financials'!M19</f>
        <v>-27792.444306291331</v>
      </c>
    </row>
    <row r="16" spans="2:9" x14ac:dyDescent="0.25">
      <c r="C16" s="37" t="s">
        <v>310</v>
      </c>
      <c r="D16" s="113">
        <f>-D15/D9</f>
        <v>0.27648799904786225</v>
      </c>
      <c r="E16" s="113">
        <f t="shared" ref="E16:H16" si="4">-E15/E9</f>
        <v>0.2577175720998589</v>
      </c>
      <c r="F16" s="113">
        <f t="shared" si="4"/>
        <v>0.24753618264138477</v>
      </c>
      <c r="G16" s="113">
        <f t="shared" si="4"/>
        <v>0.24244802738246879</v>
      </c>
      <c r="H16" s="113">
        <f t="shared" si="4"/>
        <v>0.23886237173592489</v>
      </c>
    </row>
    <row r="17" spans="2:8" x14ac:dyDescent="0.25">
      <c r="C17" t="s">
        <v>299</v>
      </c>
      <c r="D17" s="28">
        <f>-('M&amp;A'!$G$34+'M&amp;A'!$G$41)</f>
        <v>-5251.2725292968744</v>
      </c>
      <c r="E17" s="28">
        <f>-('M&amp;A'!$G$34+'M&amp;A'!$G$41)</f>
        <v>-5251.2725292968744</v>
      </c>
      <c r="F17" s="28">
        <f>-('M&amp;A'!$G$34+'M&amp;A'!$G$41)</f>
        <v>-5251.2725292968744</v>
      </c>
      <c r="G17" s="28">
        <f>-('M&amp;A'!$G$34+'M&amp;A'!$G$41)</f>
        <v>-5251.2725292968744</v>
      </c>
      <c r="H17" s="28">
        <f>-('M&amp;A'!$G$34+'M&amp;A'!$G$41)</f>
        <v>-5251.2725292968744</v>
      </c>
    </row>
    <row r="18" spans="2:8" x14ac:dyDescent="0.25">
      <c r="C18" s="37" t="s">
        <v>309</v>
      </c>
      <c r="D18" s="113">
        <f>D17/D15</f>
        <v>0.20803029277799237</v>
      </c>
      <c r="E18" s="113">
        <f t="shared" ref="E18:H18" si="5">E17/E15</f>
        <v>0.20786010270056746</v>
      </c>
      <c r="F18" s="113">
        <f t="shared" si="5"/>
        <v>0.20310477177260597</v>
      </c>
      <c r="G18" s="113">
        <f t="shared" si="5"/>
        <v>0.1962841068733647</v>
      </c>
      <c r="H18" s="113">
        <f t="shared" si="5"/>
        <v>0.18894604848081506</v>
      </c>
    </row>
    <row r="19" spans="2:8" x14ac:dyDescent="0.25">
      <c r="B19" s="55"/>
      <c r="C19" s="55" t="s">
        <v>300</v>
      </c>
      <c r="D19" s="143">
        <f>'M&amp;A'!$D$40</f>
        <v>3000</v>
      </c>
      <c r="E19" s="143">
        <f>'M&amp;A'!$D$40</f>
        <v>3000</v>
      </c>
      <c r="F19" s="143">
        <f>'M&amp;A'!$D$40</f>
        <v>3000</v>
      </c>
      <c r="G19" s="143">
        <f>'M&amp;A'!$D$40</f>
        <v>3000</v>
      </c>
      <c r="H19" s="143">
        <f>'M&amp;A'!$D$40</f>
        <v>3000</v>
      </c>
    </row>
    <row r="20" spans="2:8" x14ac:dyDescent="0.25">
      <c r="C20" s="112" t="s">
        <v>308</v>
      </c>
      <c r="D20" s="114">
        <f>-D19/D15</f>
        <v>0.11884564643182603</v>
      </c>
      <c r="E20" s="114">
        <f>-E19/E15</f>
        <v>0.11874841852574682</v>
      </c>
      <c r="F20" s="114">
        <f>-F19/F15</f>
        <v>0.11603174505197558</v>
      </c>
      <c r="G20" s="114">
        <f>-G19/G15</f>
        <v>0.11213516673051803</v>
      </c>
      <c r="H20" s="114">
        <f>-H19/H15</f>
        <v>0.10794300662935555</v>
      </c>
    </row>
    <row r="21" spans="2:8" x14ac:dyDescent="0.25">
      <c r="C21" s="2" t="s">
        <v>301</v>
      </c>
      <c r="D21" s="60">
        <f t="shared" ref="D21:H21" si="6">SUM(D13,D15,D17,D19)</f>
        <v>16634.90839371147</v>
      </c>
      <c r="E21" s="60">
        <f t="shared" si="6"/>
        <v>21245.202263885407</v>
      </c>
      <c r="F21" s="60">
        <f t="shared" si="6"/>
        <v>24097.811662329208</v>
      </c>
      <c r="G21" s="60">
        <f t="shared" si="6"/>
        <v>26740.684418248187</v>
      </c>
      <c r="H21" s="60">
        <f t="shared" si="6"/>
        <v>29694.303012411805</v>
      </c>
    </row>
    <row r="22" spans="2:8" x14ac:dyDescent="0.25">
      <c r="C22" s="37" t="s">
        <v>307</v>
      </c>
      <c r="D22" s="113">
        <f>D21/D9</f>
        <v>0.18220434177441686</v>
      </c>
      <c r="E22" s="113">
        <f>E21/E9</f>
        <v>0.21672623237590188</v>
      </c>
      <c r="F22" s="113">
        <f>F21/F9</f>
        <v>0.23071289253910346</v>
      </c>
      <c r="G22" s="113">
        <f>G21/G9</f>
        <v>0.24233254984997504</v>
      </c>
      <c r="H22" s="113">
        <f>H21/H9</f>
        <v>0.25520791069766779</v>
      </c>
    </row>
    <row r="23" spans="2:8" x14ac:dyDescent="0.25">
      <c r="C23" t="s">
        <v>115</v>
      </c>
      <c r="D23" s="28">
        <f>'Target Financials'!I22+'Acquirer Financials'!I21+'M&amp;A'!M23+D37</f>
        <v>-5636.0767059250393</v>
      </c>
      <c r="E23" s="28">
        <f>'Target Financials'!J22+'Acquirer Financials'!J21+'M&amp;A'!N23+E37</f>
        <v>-5375.3167059250391</v>
      </c>
      <c r="F23" s="28">
        <f>'Target Financials'!K22+'Acquirer Financials'!K21+'M&amp;A'!O23+F37</f>
        <v>-4956.0267059250391</v>
      </c>
      <c r="G23" s="28">
        <f>'Target Financials'!L22+'Acquirer Financials'!L21+'M&amp;A'!P23+G37</f>
        <v>-4564.1267059250395</v>
      </c>
      <c r="H23" s="28">
        <f>'Target Financials'!M22+'Acquirer Financials'!M21+'M&amp;A'!Q23+H37</f>
        <v>-4403.1267059250395</v>
      </c>
    </row>
    <row r="24" spans="2:8" x14ac:dyDescent="0.25">
      <c r="C24" t="s">
        <v>249</v>
      </c>
      <c r="D24" s="28">
        <f ca="1">'Target Financials'!I23+'Acquirer Financials'!I22+'M&amp;A'!M24</f>
        <v>286.12856012718845</v>
      </c>
      <c r="E24" s="28">
        <f ca="1">'Target Financials'!J23+'Acquirer Financials'!J22+'M&amp;A'!N24</f>
        <v>318.5702780130174</v>
      </c>
      <c r="F24" s="28">
        <f ca="1">'Target Financials'!K23+'Acquirer Financials'!K22+'M&amp;A'!O24</f>
        <v>421.58927924196814</v>
      </c>
      <c r="G24" s="28">
        <f ca="1">'Target Financials'!L23+'Acquirer Financials'!L22+'M&amp;A'!P24</f>
        <v>614.87412207718796</v>
      </c>
      <c r="H24" s="28">
        <f ca="1">'Target Financials'!M23+'Acquirer Financials'!M22+'M&amp;A'!Q24</f>
        <v>895.01859989468676</v>
      </c>
    </row>
    <row r="25" spans="2:8" x14ac:dyDescent="0.25">
      <c r="C25" s="1" t="s">
        <v>302</v>
      </c>
      <c r="D25" s="29">
        <f>'Target Financials'!I24+'Acquirer Financials'!I23</f>
        <v>662.95459999999991</v>
      </c>
      <c r="E25" s="29">
        <f>'Target Financials'!J24+'Acquirer Financials'!J23</f>
        <v>662.95459999999991</v>
      </c>
      <c r="F25" s="29">
        <f>'Target Financials'!K24+'Acquirer Financials'!K23</f>
        <v>662.95459999999991</v>
      </c>
      <c r="G25" s="29">
        <f>'Target Financials'!L24+'Acquirer Financials'!L23</f>
        <v>662.95459999999991</v>
      </c>
      <c r="H25" s="29">
        <f>'Target Financials'!M24+'Acquirer Financials'!M23</f>
        <v>662.95459999999991</v>
      </c>
    </row>
    <row r="26" spans="2:8" x14ac:dyDescent="0.25">
      <c r="C26" s="2" t="s">
        <v>303</v>
      </c>
      <c r="D26" s="60">
        <f t="shared" ref="D26:H26" ca="1" si="7">D21+SUM(D23:D25)</f>
        <v>11947.91484791362</v>
      </c>
      <c r="E26" s="60">
        <f t="shared" ca="1" si="7"/>
        <v>16851.410435973386</v>
      </c>
      <c r="F26" s="60">
        <f t="shared" ca="1" si="7"/>
        <v>20226.328835646138</v>
      </c>
      <c r="G26" s="60">
        <f t="shared" ca="1" si="7"/>
        <v>23454.386434400338</v>
      </c>
      <c r="H26" s="60">
        <f t="shared" ca="1" si="7"/>
        <v>26849.149506381451</v>
      </c>
    </row>
    <row r="27" spans="2:8" x14ac:dyDescent="0.25">
      <c r="C27" s="37" t="s">
        <v>306</v>
      </c>
      <c r="D27" s="113">
        <f ca="1">D26/D9</f>
        <v>0.13086708438165159</v>
      </c>
      <c r="E27" s="113">
        <f ca="1">E26/E9</f>
        <v>0.17190435038675636</v>
      </c>
      <c r="F27" s="113">
        <f ca="1">F26/F9</f>
        <v>0.19364724467549235</v>
      </c>
      <c r="G27" s="113">
        <f ca="1">G26/G9</f>
        <v>0.21255107688777877</v>
      </c>
      <c r="H27" s="113">
        <f ca="1">H26/H9</f>
        <v>0.23075521747955624</v>
      </c>
    </row>
    <row r="28" spans="2:8" x14ac:dyDescent="0.25">
      <c r="C28" t="s">
        <v>120</v>
      </c>
      <c r="D28" s="28">
        <f ca="1">D26*-D29+'M&amp;A'!M27</f>
        <v>-939.54909650257014</v>
      </c>
      <c r="E28" s="28">
        <f ca="1">E26*-E29+'M&amp;A'!N27</f>
        <v>-1612.4675877638738</v>
      </c>
      <c r="F28" s="28">
        <f ca="1">F26*-F29+'M&amp;A'!O27</f>
        <v>-2280.4788879001308</v>
      </c>
      <c r="G28" s="28">
        <f ca="1">G26*-G29+'M&amp;A'!P27</f>
        <v>-2959.3589351187838</v>
      </c>
      <c r="H28" s="28">
        <f ca="1">H26*-H29+'M&amp;A'!Q27</f>
        <v>-3676.6392311061495</v>
      </c>
    </row>
    <row r="29" spans="2:8" x14ac:dyDescent="0.25">
      <c r="C29" s="37" t="s">
        <v>305</v>
      </c>
      <c r="D29" s="154">
        <f>'Acquirer Financials'!I48</f>
        <v>0.14169999999999999</v>
      </c>
      <c r="E29" s="154">
        <f>'Acquirer Financials'!J48</f>
        <v>0.1404</v>
      </c>
      <c r="F29" s="154">
        <f>'Acquirer Financials'!K48</f>
        <v>0.15</v>
      </c>
      <c r="G29" s="154">
        <f>'Acquirer Financials'!L48</f>
        <v>0.1583</v>
      </c>
      <c r="H29" s="154">
        <f>'Acquirer Financials'!M48</f>
        <v>0.16500000000000001</v>
      </c>
    </row>
    <row r="30" spans="2:8" x14ac:dyDescent="0.25">
      <c r="C30" s="1" t="s">
        <v>121</v>
      </c>
      <c r="D30" s="29">
        <f>'Target Financials'!I29+'Target Financials'!I30</f>
        <v>-22</v>
      </c>
      <c r="E30" s="29">
        <f>'Target Financials'!J29+'Target Financials'!J30</f>
        <v>-22</v>
      </c>
      <c r="F30" s="29">
        <f>'Target Financials'!K29+'Target Financials'!K30</f>
        <v>-22</v>
      </c>
      <c r="G30" s="29">
        <f>'Target Financials'!L29+'Target Financials'!L30</f>
        <v>-22</v>
      </c>
      <c r="H30" s="29">
        <f>'Target Financials'!M29+'Target Financials'!M30</f>
        <v>-22</v>
      </c>
    </row>
    <row r="31" spans="2:8" x14ac:dyDescent="0.25">
      <c r="C31" s="58" t="s">
        <v>79</v>
      </c>
      <c r="D31" s="60">
        <f ca="1">D26+D28+D30</f>
        <v>10986.365751411049</v>
      </c>
      <c r="E31" s="60">
        <f ca="1">E26+E28+E30</f>
        <v>15216.942848209514</v>
      </c>
      <c r="F31" s="60">
        <f ca="1">F26+F28+F30</f>
        <v>17923.849947746006</v>
      </c>
      <c r="G31" s="60">
        <f ca="1">G26+G28+G30</f>
        <v>20473.027499281554</v>
      </c>
      <c r="H31" s="60">
        <f ca="1">H26+H28+H30</f>
        <v>23150.510275275301</v>
      </c>
    </row>
    <row r="32" spans="2:8" x14ac:dyDescent="0.25">
      <c r="C32" s="111" t="s">
        <v>304</v>
      </c>
      <c r="D32" s="113">
        <f ca="1">D31/D9</f>
        <v>0.12033511053091088</v>
      </c>
      <c r="E32" s="113">
        <f ca="1">E31/E9</f>
        <v>0.15523084463064737</v>
      </c>
      <c r="F32" s="113">
        <f ca="1">F31/F9</f>
        <v>0.17160326940996765</v>
      </c>
      <c r="G32" s="113">
        <f ca="1">G31/G9</f>
        <v>0.18553305814655646</v>
      </c>
      <c r="H32" s="113">
        <f ca="1">H31/H9</f>
        <v>0.19896723477457467</v>
      </c>
    </row>
    <row r="35" spans="2:8" x14ac:dyDescent="0.25">
      <c r="C35" s="52" t="s">
        <v>333</v>
      </c>
      <c r="D35" s="1"/>
      <c r="E35" s="1"/>
      <c r="F35" s="1"/>
      <c r="G35" s="1"/>
      <c r="H35" s="1"/>
    </row>
    <row r="36" spans="2:8" x14ac:dyDescent="0.25">
      <c r="C36" s="56" t="s">
        <v>334</v>
      </c>
      <c r="D36" s="28">
        <f>'M&amp;A'!D63</f>
        <v>277.05766918132844</v>
      </c>
      <c r="E36" s="28">
        <f>D38</f>
        <v>221.64613534506276</v>
      </c>
      <c r="F36" s="28">
        <f t="shared" ref="F36:H36" si="8">E38</f>
        <v>166.23460150879708</v>
      </c>
      <c r="G36" s="28">
        <f t="shared" si="8"/>
        <v>110.82306767253139</v>
      </c>
      <c r="H36" s="28">
        <f t="shared" si="8"/>
        <v>55.411533836265704</v>
      </c>
    </row>
    <row r="37" spans="2:8" x14ac:dyDescent="0.25">
      <c r="C37" s="79" t="s">
        <v>335</v>
      </c>
      <c r="D37" s="29">
        <f>'M&amp;A'!$D$63/-'M&amp;A'!$D$61</f>
        <v>-55.41153383626569</v>
      </c>
      <c r="E37" s="29">
        <f>'M&amp;A'!$D$63/-'M&amp;A'!$D$61</f>
        <v>-55.41153383626569</v>
      </c>
      <c r="F37" s="29">
        <f>'M&amp;A'!$D$63/-'M&amp;A'!$D$61</f>
        <v>-55.41153383626569</v>
      </c>
      <c r="G37" s="29">
        <f>'M&amp;A'!$D$63/-'M&amp;A'!$D$61</f>
        <v>-55.41153383626569</v>
      </c>
      <c r="H37" s="29">
        <f>'M&amp;A'!$D$63/-'M&amp;A'!$D$61</f>
        <v>-55.41153383626569</v>
      </c>
    </row>
    <row r="38" spans="2:8" x14ac:dyDescent="0.25">
      <c r="C38" s="58" t="s">
        <v>336</v>
      </c>
      <c r="D38" s="60">
        <f>SUM(D36:D37)</f>
        <v>221.64613534506276</v>
      </c>
      <c r="E38" s="60">
        <f t="shared" ref="E38:H38" si="9">SUM(E36:E37)</f>
        <v>166.23460150879708</v>
      </c>
      <c r="F38" s="60">
        <f t="shared" si="9"/>
        <v>110.82306767253139</v>
      </c>
      <c r="G38" s="60">
        <f t="shared" si="9"/>
        <v>55.411533836265704</v>
      </c>
      <c r="H38" s="60">
        <f t="shared" si="9"/>
        <v>0</v>
      </c>
    </row>
    <row r="39" spans="2:8" x14ac:dyDescent="0.25">
      <c r="C39" s="56"/>
    </row>
    <row r="41" spans="2:8" x14ac:dyDescent="0.25">
      <c r="B41" t="s">
        <v>129</v>
      </c>
      <c r="C41" s="14" t="s">
        <v>330</v>
      </c>
      <c r="D41" s="16"/>
      <c r="E41" s="16"/>
      <c r="F41" s="16"/>
      <c r="G41" s="16"/>
      <c r="H41" s="15"/>
    </row>
    <row r="42" spans="2:8" x14ac:dyDescent="0.25">
      <c r="C42" s="40"/>
      <c r="D42" s="115" t="s">
        <v>314</v>
      </c>
      <c r="E42" s="115"/>
      <c r="F42" s="115" t="s">
        <v>316</v>
      </c>
      <c r="G42" s="115"/>
      <c r="H42" s="115" t="s">
        <v>166</v>
      </c>
    </row>
    <row r="43" spans="2:8" x14ac:dyDescent="0.25">
      <c r="C43" s="18"/>
      <c r="D43" s="116" t="s">
        <v>165</v>
      </c>
      <c r="E43" s="116" t="s">
        <v>315</v>
      </c>
      <c r="F43" s="116" t="s">
        <v>317</v>
      </c>
      <c r="G43" s="116" t="s">
        <v>318</v>
      </c>
      <c r="H43" s="116">
        <v>46387</v>
      </c>
    </row>
    <row r="45" spans="2:8" x14ac:dyDescent="0.25">
      <c r="C45" t="s">
        <v>130</v>
      </c>
      <c r="D45" s="93">
        <f ca="1">'Target Financials'!I59</f>
        <v>4976.8936813516275</v>
      </c>
      <c r="E45" s="93">
        <f ca="1">'Acquirer Financials'!I55</f>
        <v>9208.1732455558067</v>
      </c>
      <c r="F45" s="28"/>
      <c r="G45" s="28">
        <f>-('M&amp;A'!G13+'M&amp;A'!G15)</f>
        <v>-6382.0588444394016</v>
      </c>
      <c r="H45" s="28">
        <f ca="1">SUM(D45:G45)</f>
        <v>7803.0080824680335</v>
      </c>
    </row>
    <row r="46" spans="2:8" x14ac:dyDescent="0.25">
      <c r="C46" t="s">
        <v>131</v>
      </c>
      <c r="D46" s="93">
        <f>'Target Financials'!I60</f>
        <v>5313.3258821321315</v>
      </c>
      <c r="E46" s="32">
        <v>0</v>
      </c>
      <c r="F46" s="28"/>
      <c r="G46" s="28"/>
      <c r="H46" s="28">
        <f t="shared" ref="H46:H52" si="10">SUM(D46:G46)</f>
        <v>5313.3258821321315</v>
      </c>
    </row>
    <row r="47" spans="2:8" x14ac:dyDescent="0.25">
      <c r="C47" t="s">
        <v>132</v>
      </c>
      <c r="D47" s="93">
        <f>'Target Financials'!I61</f>
        <v>3358.214658408408</v>
      </c>
      <c r="E47" s="93">
        <f>'Acquirer Financials'!I56</f>
        <v>4499.4267548130229</v>
      </c>
      <c r="F47" s="28"/>
      <c r="G47" s="28"/>
      <c r="H47" s="28">
        <f t="shared" si="10"/>
        <v>7857.6414132214304</v>
      </c>
    </row>
    <row r="48" spans="2:8" x14ac:dyDescent="0.25">
      <c r="C48" t="s">
        <v>133</v>
      </c>
      <c r="D48" s="93">
        <f>'Target Financials'!I62</f>
        <v>6691.2316898930185</v>
      </c>
      <c r="E48" s="93">
        <f>'Acquirer Financials'!I58</f>
        <v>2395.7720085620804</v>
      </c>
      <c r="F48" s="93">
        <f>'M&amp;A'!G32</f>
        <v>1338.2463379786038</v>
      </c>
      <c r="G48" s="28"/>
      <c r="H48" s="28">
        <f t="shared" si="10"/>
        <v>10425.250036433703</v>
      </c>
    </row>
    <row r="49" spans="3:12" x14ac:dyDescent="0.25">
      <c r="C49" t="s">
        <v>156</v>
      </c>
      <c r="D49" s="32">
        <v>0</v>
      </c>
      <c r="E49" s="93">
        <f>'Acquirer Financials'!I57</f>
        <v>37263.8287690203</v>
      </c>
      <c r="F49" s="28"/>
      <c r="G49" s="28"/>
      <c r="H49" s="28">
        <f t="shared" si="10"/>
        <v>37263.8287690203</v>
      </c>
      <c r="J49" s="28"/>
    </row>
    <row r="50" spans="3:12" x14ac:dyDescent="0.25">
      <c r="C50" t="s">
        <v>134</v>
      </c>
      <c r="D50" s="93">
        <f>'Target Financials'!I63</f>
        <v>25933</v>
      </c>
      <c r="E50" s="32">
        <v>0</v>
      </c>
      <c r="F50" s="93">
        <f ca="1">'M&amp;A'!G59</f>
        <v>19702.020336609887</v>
      </c>
      <c r="G50" s="57">
        <f>-D50</f>
        <v>-25933</v>
      </c>
      <c r="H50" s="28">
        <f t="shared" ca="1" si="10"/>
        <v>19702.020336609887</v>
      </c>
      <c r="J50" s="28"/>
      <c r="K50" s="28"/>
      <c r="L50" s="28"/>
    </row>
    <row r="51" spans="3:12" x14ac:dyDescent="0.25">
      <c r="C51" t="s">
        <v>135</v>
      </c>
      <c r="D51" s="93">
        <f>'Target Financials'!I64</f>
        <v>47049.129335585581</v>
      </c>
      <c r="E51" s="32">
        <v>0</v>
      </c>
      <c r="F51" s="93">
        <f>'M&amp;A'!G39</f>
        <v>51754.042269144142</v>
      </c>
      <c r="G51" s="28"/>
      <c r="H51" s="28">
        <f t="shared" si="10"/>
        <v>98803.171604729723</v>
      </c>
      <c r="J51" s="28"/>
    </row>
    <row r="52" spans="3:12" x14ac:dyDescent="0.25">
      <c r="C52" s="1" t="s">
        <v>185</v>
      </c>
      <c r="D52" s="119">
        <f>'Target Financials'!I65</f>
        <v>7409.9518299549545</v>
      </c>
      <c r="E52" s="119">
        <f>'Acquirer Financials'!I59</f>
        <v>8860.6090639061968</v>
      </c>
      <c r="F52" s="29"/>
      <c r="G52" s="119">
        <f>'M&amp;A'!G49</f>
        <v>-4975</v>
      </c>
      <c r="H52" s="28">
        <f t="shared" si="10"/>
        <v>11295.560893861151</v>
      </c>
    </row>
    <row r="53" spans="3:12" ht="15.75" thickBot="1" x14ac:dyDescent="0.3">
      <c r="C53" s="117" t="s">
        <v>136</v>
      </c>
      <c r="D53" s="78">
        <f ca="1">SUM(D45:D52)</f>
        <v>100731.74707732571</v>
      </c>
      <c r="E53" s="78">
        <f ca="1">SUM(E45:E52)</f>
        <v>62227.809841857401</v>
      </c>
      <c r="F53" s="78"/>
      <c r="G53" s="78"/>
      <c r="H53" s="78">
        <f ca="1">SUM(H45:H52)</f>
        <v>198463.80701847633</v>
      </c>
    </row>
    <row r="54" spans="3:12" ht="15.75" thickTop="1" x14ac:dyDescent="0.25"/>
    <row r="55" spans="3:12" x14ac:dyDescent="0.25">
      <c r="C55" t="s">
        <v>137</v>
      </c>
      <c r="D55" s="93">
        <f>'Target Financials'!I68</f>
        <v>1138.1685664807278</v>
      </c>
      <c r="E55" s="93">
        <f>'Acquirer Financials'!I62</f>
        <v>983.14492302129759</v>
      </c>
      <c r="F55" s="28"/>
      <c r="G55" s="28"/>
      <c r="H55" s="28">
        <f>SUM(D55:G55)</f>
        <v>2121.3134895020253</v>
      </c>
    </row>
    <row r="56" spans="3:12" x14ac:dyDescent="0.25">
      <c r="C56" t="s">
        <v>138</v>
      </c>
      <c r="D56" s="93">
        <f>'Target Financials'!I69</f>
        <v>10023.797457404837</v>
      </c>
      <c r="E56" s="93">
        <f>'Acquirer Financials'!I63</f>
        <v>3517.7901367383693</v>
      </c>
      <c r="F56" s="28"/>
      <c r="G56" s="28"/>
      <c r="H56" s="28">
        <f t="shared" ref="H56:H62" si="11">SUM(D56:G56)</f>
        <v>13541.587594143206</v>
      </c>
      <c r="K56" s="28"/>
    </row>
    <row r="57" spans="3:12" x14ac:dyDescent="0.25">
      <c r="C57" t="s">
        <v>274</v>
      </c>
      <c r="D57" s="32">
        <v>0</v>
      </c>
      <c r="E57" s="93">
        <f>'Acquirer Financials'!I66</f>
        <v>6439.4441073016869</v>
      </c>
      <c r="F57" s="28"/>
      <c r="G57" s="28"/>
      <c r="H57" s="28">
        <f t="shared" si="11"/>
        <v>6439.4441073016869</v>
      </c>
    </row>
    <row r="58" spans="3:12" x14ac:dyDescent="0.25">
      <c r="C58" t="s">
        <v>139</v>
      </c>
      <c r="D58" s="93">
        <f>'Target Financials'!I70</f>
        <v>1647.9941629129128</v>
      </c>
      <c r="E58" s="93">
        <f>'Acquirer Financials'!I64</f>
        <v>2018.7231472493349</v>
      </c>
      <c r="F58" s="28"/>
      <c r="G58" s="28"/>
      <c r="H58" s="28">
        <f t="shared" si="11"/>
        <v>3666.7173101622475</v>
      </c>
      <c r="K58" s="28"/>
    </row>
    <row r="59" spans="3:12" x14ac:dyDescent="0.25">
      <c r="C59" t="s">
        <v>158</v>
      </c>
      <c r="D59" s="93">
        <f>'Target Financials'!I71</f>
        <v>16483</v>
      </c>
      <c r="E59" s="93">
        <f>'Acquirer Financials'!I65</f>
        <v>998.86500000000001</v>
      </c>
      <c r="F59" s="28"/>
      <c r="G59" s="28">
        <f>IF('M&amp;A'!$D$54="Refinanced",-'Pro Forma Financials'!D59,0)</f>
        <v>-16483</v>
      </c>
      <c r="H59" s="28">
        <f t="shared" si="11"/>
        <v>998.8650000000016</v>
      </c>
    </row>
    <row r="60" spans="3:12" x14ac:dyDescent="0.25">
      <c r="C60" t="s">
        <v>159</v>
      </c>
      <c r="D60" s="93">
        <f>'Target Financials'!I72</f>
        <v>15945</v>
      </c>
      <c r="E60" s="93">
        <f>'Acquirer Financials'!I67</f>
        <v>13463.971</v>
      </c>
      <c r="F60" s="28">
        <f>'M&amp;A'!G11+'M&amp;A'!G12</f>
        <v>55411.533836265691</v>
      </c>
      <c r="G60" s="28">
        <f>IF('M&amp;A'!$D$54="Refinanced",-'Pro Forma Financials'!D60,0)-'M&amp;A'!D63</f>
        <v>-16222.057669181328</v>
      </c>
      <c r="H60" s="28">
        <f t="shared" si="11"/>
        <v>68598.447167084363</v>
      </c>
    </row>
    <row r="61" spans="3:12" x14ac:dyDescent="0.25">
      <c r="C61" t="s">
        <v>141</v>
      </c>
      <c r="D61" s="93">
        <f>'Target Financials'!I73</f>
        <v>6383</v>
      </c>
      <c r="E61" s="32">
        <v>0</v>
      </c>
      <c r="F61" s="93">
        <f>'M&amp;A'!G54</f>
        <v>7523.1772956292925</v>
      </c>
      <c r="G61" s="93">
        <f>'M&amp;A'!G53</f>
        <v>0</v>
      </c>
      <c r="H61" s="28">
        <f t="shared" si="11"/>
        <v>13906.177295629292</v>
      </c>
      <c r="J61" s="28"/>
    </row>
    <row r="62" spans="3:12" x14ac:dyDescent="0.25">
      <c r="C62" s="1" t="s">
        <v>186</v>
      </c>
      <c r="D62" s="93">
        <f>'Target Financials'!I74</f>
        <v>11650.3753003003</v>
      </c>
      <c r="E62" s="119">
        <f>'Acquirer Financials'!I68</f>
        <v>3361.7851491944898</v>
      </c>
      <c r="F62" s="29"/>
      <c r="G62" s="29"/>
      <c r="H62" s="28">
        <f t="shared" si="11"/>
        <v>15012.16044949479</v>
      </c>
    </row>
    <row r="63" spans="3:12" ht="15.75" thickBot="1" x14ac:dyDescent="0.3">
      <c r="C63" s="117" t="s">
        <v>142</v>
      </c>
      <c r="D63" s="78">
        <f t="shared" ref="D63" si="12">SUM(D55:D62)</f>
        <v>63271.335487098775</v>
      </c>
      <c r="E63" s="78">
        <f>SUM(E55:E62)</f>
        <v>30783.723463505179</v>
      </c>
      <c r="F63" s="78"/>
      <c r="G63" s="78"/>
      <c r="H63" s="78">
        <f>SUM(H55:H62)</f>
        <v>124284.71241331761</v>
      </c>
      <c r="L63" s="28"/>
    </row>
    <row r="64" spans="3:12" ht="15.75" thickTop="1" x14ac:dyDescent="0.25">
      <c r="D64" s="28"/>
      <c r="E64" s="28"/>
      <c r="F64" s="28"/>
      <c r="G64" s="28"/>
      <c r="H64" s="28"/>
    </row>
    <row r="65" spans="2:11" x14ac:dyDescent="0.25">
      <c r="C65" s="1" t="s">
        <v>319</v>
      </c>
      <c r="D65" s="29">
        <f ca="1">'Target Financials'!I85+'Target Financials'!I77</f>
        <v>37460.41159022694</v>
      </c>
      <c r="E65" s="155">
        <f ca="1">'Acquirer Financials'!I75</f>
        <v>31443.636378352228</v>
      </c>
      <c r="F65" s="119">
        <f>'M&amp;A'!G14</f>
        <v>43094.125942998166</v>
      </c>
      <c r="G65" s="29">
        <f ca="1">-(D65+'M&amp;A'!D39)</f>
        <v>-37819.52930641859</v>
      </c>
      <c r="H65" s="28">
        <f t="shared" ref="H65" ca="1" si="13">SUM(D65:G65)</f>
        <v>74178.644605158741</v>
      </c>
      <c r="K65" s="28"/>
    </row>
    <row r="66" spans="2:11" ht="15.75" thickBot="1" x14ac:dyDescent="0.3">
      <c r="C66" s="117" t="s">
        <v>320</v>
      </c>
      <c r="D66" s="78">
        <f ca="1">D65+D63</f>
        <v>100731.74707732571</v>
      </c>
      <c r="E66" s="78">
        <f ca="1">E63+E65</f>
        <v>62227.359841857411</v>
      </c>
      <c r="F66" s="78"/>
      <c r="G66" s="78"/>
      <c r="H66" s="78">
        <f ca="1">H63+H65</f>
        <v>198463.35701847635</v>
      </c>
    </row>
    <row r="67" spans="2:11" ht="15.75" thickTop="1" x14ac:dyDescent="0.25">
      <c r="C67" s="111" t="s">
        <v>337</v>
      </c>
      <c r="D67" s="156">
        <f ca="1">D53-D66</f>
        <v>0</v>
      </c>
      <c r="E67" s="156">
        <f t="shared" ref="E67:H67" ca="1" si="14">E53-E66</f>
        <v>0.44999999998981366</v>
      </c>
      <c r="F67" s="156"/>
      <c r="G67" s="156"/>
      <c r="H67" s="156">
        <f t="shared" ca="1" si="14"/>
        <v>0.4499999999825377</v>
      </c>
    </row>
    <row r="70" spans="2:11" x14ac:dyDescent="0.25">
      <c r="B70" t="s">
        <v>129</v>
      </c>
      <c r="C70" s="14" t="s">
        <v>321</v>
      </c>
      <c r="D70" s="16"/>
      <c r="E70" s="16"/>
      <c r="F70" s="16"/>
      <c r="G70" s="16"/>
      <c r="H70" s="15"/>
    </row>
    <row r="71" spans="2:11" x14ac:dyDescent="0.25">
      <c r="C71" s="40"/>
      <c r="D71" s="115" t="s">
        <v>314</v>
      </c>
      <c r="E71" s="115"/>
      <c r="F71" s="42"/>
      <c r="G71" s="42"/>
      <c r="H71" s="115" t="s">
        <v>166</v>
      </c>
    </row>
    <row r="72" spans="2:11" x14ac:dyDescent="0.25">
      <c r="C72" s="18"/>
      <c r="D72" s="116" t="s">
        <v>165</v>
      </c>
      <c r="E72" s="116" t="s">
        <v>315</v>
      </c>
      <c r="F72" s="43"/>
      <c r="G72" s="43"/>
      <c r="H72" s="116">
        <v>46387</v>
      </c>
    </row>
    <row r="73" spans="2:11" ht="15.75" thickBot="1" x14ac:dyDescent="0.3"/>
    <row r="74" spans="2:11" x14ac:dyDescent="0.25">
      <c r="C74" t="s">
        <v>322</v>
      </c>
      <c r="D74" s="28">
        <f>'Target Financials'!H71+'Target Financials'!H72</f>
        <v>32567</v>
      </c>
      <c r="E74" s="124">
        <f>'Acquirer Financials'!H65+'Acquirer Financials'!H67</f>
        <v>14462.835999999999</v>
      </c>
      <c r="F74" s="28"/>
      <c r="G74" s="28"/>
      <c r="H74" s="120">
        <f>H59+H60</f>
        <v>69597.312167084368</v>
      </c>
    </row>
    <row r="75" spans="2:11" x14ac:dyDescent="0.25">
      <c r="C75" t="s">
        <v>323</v>
      </c>
      <c r="D75" s="93">
        <f>'Target Financials'!H84</f>
        <v>1228</v>
      </c>
      <c r="E75" s="152">
        <v>0</v>
      </c>
      <c r="F75" s="28"/>
      <c r="G75" s="28"/>
      <c r="H75" s="121">
        <f>SUM(D75:E75)</f>
        <v>1228</v>
      </c>
    </row>
    <row r="76" spans="2:11" x14ac:dyDescent="0.25">
      <c r="C76" t="s">
        <v>324</v>
      </c>
      <c r="D76" s="119">
        <f>-'Target Financials'!H59</f>
        <v>-4566</v>
      </c>
      <c r="E76" s="151">
        <f>-'Acquirer Financials'!H55</f>
        <v>-9062.3590000000004</v>
      </c>
      <c r="F76" s="28"/>
      <c r="G76" s="28"/>
      <c r="H76" s="123">
        <f ca="1">-H45</f>
        <v>-7803.0080824680335</v>
      </c>
    </row>
    <row r="77" spans="2:11" x14ac:dyDescent="0.25">
      <c r="C77" s="2" t="s">
        <v>169</v>
      </c>
      <c r="D77" s="60">
        <f>SUM(D74:D76)</f>
        <v>29229</v>
      </c>
      <c r="E77" s="126">
        <f>SUM(E74:E76)</f>
        <v>5400.476999999999</v>
      </c>
      <c r="F77" s="28"/>
      <c r="G77" s="28"/>
      <c r="H77" s="122">
        <f ca="1">SUM(H74:H76)</f>
        <v>63022.304084616335</v>
      </c>
    </row>
    <row r="78" spans="2:11" x14ac:dyDescent="0.25">
      <c r="D78" s="28"/>
      <c r="E78" s="125"/>
      <c r="F78" s="28"/>
      <c r="G78" s="28"/>
      <c r="H78" s="121"/>
    </row>
    <row r="79" spans="2:11" x14ac:dyDescent="0.25">
      <c r="C79" t="s">
        <v>168</v>
      </c>
      <c r="D79" s="28">
        <f>'M&amp;A'!D24*Shares!G31</f>
        <v>70917.66071099999</v>
      </c>
      <c r="E79" s="125">
        <f>'M&amp;A'!D16*Shares!L31</f>
        <v>401986.22232104</v>
      </c>
      <c r="F79" s="28"/>
      <c r="G79" s="28"/>
      <c r="H79" s="122">
        <f ca="1">'M&amp;A'!D16*'M&amp;A'!M31</f>
        <v>439008.50907684973</v>
      </c>
    </row>
    <row r="80" spans="2:11" x14ac:dyDescent="0.25">
      <c r="C80" t="s">
        <v>170</v>
      </c>
      <c r="D80" s="28">
        <f>D79+D77</f>
        <v>100146.66071099999</v>
      </c>
      <c r="E80" s="125">
        <f>E79+E77</f>
        <v>407386.69932104001</v>
      </c>
      <c r="F80" s="28"/>
      <c r="G80" s="28"/>
      <c r="H80" s="122">
        <f ca="1">H79+H77</f>
        <v>502030.81316146604</v>
      </c>
    </row>
    <row r="81" spans="3:8" x14ac:dyDescent="0.25">
      <c r="C81" t="s">
        <v>325</v>
      </c>
      <c r="D81" s="93">
        <f>'M&amp;A'!D43</f>
        <v>5658.6057505255249</v>
      </c>
      <c r="E81" s="153">
        <f>'M&amp;A'!D42</f>
        <v>35249.95406108912</v>
      </c>
      <c r="F81" s="28"/>
      <c r="G81" s="28"/>
      <c r="H81" s="121">
        <f>SUM('Pro Forma Financials'!D81:E81)</f>
        <v>40908.559811614643</v>
      </c>
    </row>
    <row r="82" spans="3:8" x14ac:dyDescent="0.25">
      <c r="C82" t="s">
        <v>326</v>
      </c>
      <c r="D82" s="100">
        <f>SUM(D74:D75)/D81</f>
        <v>5.9723192408061649</v>
      </c>
      <c r="E82" s="127">
        <f>SUM(E74:E75)/E81</f>
        <v>0.41029375456590711</v>
      </c>
      <c r="F82" s="100"/>
      <c r="G82" s="100"/>
      <c r="H82" s="128">
        <f>SUM(H74:H75)/H81</f>
        <v>1.731307885030356</v>
      </c>
    </row>
    <row r="83" spans="3:8" x14ac:dyDescent="0.25">
      <c r="C83" t="s">
        <v>327</v>
      </c>
      <c r="D83" s="100">
        <f>D80/D81</f>
        <v>17.698115954040301</v>
      </c>
      <c r="E83" s="127">
        <f>E80/E81</f>
        <v>11.557084545841617</v>
      </c>
      <c r="F83" s="100"/>
      <c r="G83" s="100"/>
      <c r="H83" s="128">
        <f ca="1">H80/H81</f>
        <v>12.272023641832799</v>
      </c>
    </row>
    <row r="84" spans="3:8" ht="15.75" thickBot="1" x14ac:dyDescent="0.3">
      <c r="C84" t="s">
        <v>328</v>
      </c>
      <c r="D84" s="51" cm="1">
        <f t="array" ref="D84">SUM(D74:D75/D79)</f>
        <v>0.47653856121565613</v>
      </c>
      <c r="E84" s="129">
        <f>SUM(E74:E75)/E79</f>
        <v>3.5978437063072979E-2</v>
      </c>
      <c r="F84" s="51"/>
      <c r="G84" s="51"/>
      <c r="H84" s="130">
        <f ca="1">SUM(H74:H75)/H79</f>
        <v>0.16133015807829407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51D8-CCB2-4C91-A3A2-695D94AC4BE7}">
  <dimension ref="C2:L32"/>
  <sheetViews>
    <sheetView showGridLines="0" workbookViewId="0">
      <selection activeCell="C27" sqref="C27"/>
    </sheetView>
  </sheetViews>
  <sheetFormatPr defaultRowHeight="15" x14ac:dyDescent="0.25"/>
  <cols>
    <col min="1" max="2" width="2.140625" customWidth="1"/>
    <col min="3" max="3" width="38" customWidth="1"/>
    <col min="4" max="4" width="9.140625" customWidth="1"/>
    <col min="8" max="8" width="5" customWidth="1"/>
  </cols>
  <sheetData>
    <row r="2" spans="3:12" ht="19.5" x14ac:dyDescent="0.3">
      <c r="C2" s="22" t="s">
        <v>292</v>
      </c>
      <c r="D2" s="23"/>
      <c r="E2" s="23"/>
      <c r="F2" s="23"/>
      <c r="G2" s="23"/>
      <c r="H2" s="23"/>
      <c r="I2" s="23"/>
      <c r="J2" s="23"/>
      <c r="K2" s="23"/>
      <c r="L2" s="23"/>
    </row>
    <row r="3" spans="3:12" x14ac:dyDescent="0.25">
      <c r="C3" s="25" t="s">
        <v>101</v>
      </c>
      <c r="D3" s="13"/>
      <c r="E3" s="13"/>
      <c r="F3" s="13"/>
      <c r="G3" s="13"/>
      <c r="H3" s="13"/>
      <c r="I3" s="13"/>
      <c r="J3" s="13"/>
      <c r="K3" s="13"/>
      <c r="L3" s="13"/>
    </row>
    <row r="4" spans="3:12" x14ac:dyDescent="0.25">
      <c r="D4" s="47" t="s">
        <v>9</v>
      </c>
      <c r="E4" s="133"/>
      <c r="F4" s="133"/>
      <c r="G4" s="133"/>
      <c r="H4" s="71"/>
      <c r="I4" s="47" t="s">
        <v>3</v>
      </c>
      <c r="J4" s="133"/>
      <c r="K4" s="133"/>
      <c r="L4" s="133"/>
    </row>
    <row r="5" spans="3:12" x14ac:dyDescent="0.25">
      <c r="D5" s="134" t="s">
        <v>165</v>
      </c>
      <c r="E5" s="135"/>
      <c r="F5" s="135"/>
      <c r="G5" s="135"/>
      <c r="H5" s="71"/>
      <c r="I5" s="134" t="s">
        <v>99</v>
      </c>
      <c r="J5" s="135"/>
      <c r="K5" s="135"/>
      <c r="L5" s="135"/>
    </row>
    <row r="6" spans="3:12" x14ac:dyDescent="0.25">
      <c r="D6" s="84"/>
      <c r="E6" s="84"/>
      <c r="F6" s="84"/>
      <c r="L6" s="28"/>
    </row>
    <row r="7" spans="3:12" x14ac:dyDescent="0.25">
      <c r="C7" s="66" t="s">
        <v>275</v>
      </c>
      <c r="D7" s="84"/>
      <c r="E7" s="84"/>
      <c r="F7" s="84"/>
      <c r="G7" s="93">
        <f>'Target Financials'!D7</f>
        <v>2479.9295149999998</v>
      </c>
      <c r="L7" s="93">
        <f>'Acquirer Financials'!D7</f>
        <v>4222.1621500000001</v>
      </c>
    </row>
    <row r="8" spans="3:12" x14ac:dyDescent="0.25">
      <c r="C8" s="66" t="s">
        <v>276</v>
      </c>
      <c r="D8" s="92"/>
      <c r="E8" s="92"/>
      <c r="F8" s="92"/>
      <c r="G8" s="29">
        <v>97</v>
      </c>
      <c r="I8" s="1"/>
      <c r="J8" s="1"/>
      <c r="K8" s="1"/>
      <c r="L8" s="29">
        <v>1.5852599999999999</v>
      </c>
    </row>
    <row r="9" spans="3:12" x14ac:dyDescent="0.25">
      <c r="C9" s="65" t="s">
        <v>277</v>
      </c>
      <c r="D9" s="66"/>
      <c r="E9" s="66"/>
      <c r="F9" s="66"/>
      <c r="G9" s="60">
        <f>SUM(G7:G8)</f>
        <v>2576.9295149999998</v>
      </c>
      <c r="L9" s="60">
        <f>SUM(L7:L8)</f>
        <v>4223.7474099999999</v>
      </c>
    </row>
    <row r="10" spans="3:12" x14ac:dyDescent="0.25">
      <c r="C10" s="66"/>
      <c r="D10" s="84"/>
      <c r="E10" s="84"/>
      <c r="F10" s="84"/>
      <c r="G10" s="28"/>
      <c r="L10" s="28"/>
    </row>
    <row r="11" spans="3:12" x14ac:dyDescent="0.25">
      <c r="C11" s="66" t="s">
        <v>278</v>
      </c>
      <c r="D11" s="86"/>
      <c r="E11" s="86"/>
      <c r="F11" s="86"/>
      <c r="G11" s="28">
        <v>46.1</v>
      </c>
      <c r="L11" s="28">
        <v>127.679804</v>
      </c>
    </row>
    <row r="12" spans="3:12" x14ac:dyDescent="0.25">
      <c r="C12" s="66" t="s">
        <v>279</v>
      </c>
      <c r="D12" s="87"/>
      <c r="E12" s="87"/>
      <c r="F12" s="87"/>
      <c r="G12" s="94">
        <v>20.68</v>
      </c>
      <c r="L12" s="94">
        <v>34.07</v>
      </c>
    </row>
    <row r="13" spans="3:12" x14ac:dyDescent="0.25">
      <c r="C13" s="66" t="s">
        <v>280</v>
      </c>
      <c r="D13" s="87"/>
      <c r="E13" s="87"/>
      <c r="F13" s="87"/>
      <c r="G13" s="28">
        <f>IF(G12&lt;'M&amp;A'!D24,Shares!G11,0)</f>
        <v>46.1</v>
      </c>
      <c r="L13" s="28">
        <f>IF(L12&lt;'M&amp;A'!D16,Shares!L11,0)</f>
        <v>127.679804</v>
      </c>
    </row>
    <row r="14" spans="3:12" x14ac:dyDescent="0.25">
      <c r="C14" s="66" t="s">
        <v>281</v>
      </c>
      <c r="D14" s="87"/>
      <c r="E14" s="87"/>
      <c r="F14" s="87"/>
      <c r="G14" s="28">
        <f>G12*G13</f>
        <v>953.34800000000007</v>
      </c>
      <c r="L14" s="28">
        <f>L12*L13</f>
        <v>4350.0509222800001</v>
      </c>
    </row>
    <row r="15" spans="3:12" x14ac:dyDescent="0.25">
      <c r="C15" s="66" t="s">
        <v>253</v>
      </c>
      <c r="D15" s="92"/>
      <c r="E15" s="92"/>
      <c r="F15" s="92"/>
      <c r="G15" s="29">
        <f>G14/'M&amp;A'!D24</f>
        <v>34.793722627737232</v>
      </c>
      <c r="I15" s="1"/>
      <c r="J15" s="1"/>
      <c r="K15" s="1"/>
      <c r="L15" s="29">
        <f>L14/'M&amp;A'!D16</f>
        <v>46.584396254872566</v>
      </c>
    </row>
    <row r="16" spans="3:12" x14ac:dyDescent="0.25">
      <c r="C16" s="65" t="s">
        <v>282</v>
      </c>
      <c r="D16" s="66"/>
      <c r="E16" s="66"/>
      <c r="F16" s="66"/>
      <c r="G16" s="60">
        <f>G13-G15</f>
        <v>11.30627737226277</v>
      </c>
      <c r="L16" s="60">
        <f>L13-L15</f>
        <v>81.095407745127432</v>
      </c>
    </row>
    <row r="17" spans="3:12" x14ac:dyDescent="0.25">
      <c r="C17" s="66"/>
      <c r="D17" s="84"/>
      <c r="E17" s="84"/>
      <c r="F17" s="84"/>
    </row>
    <row r="18" spans="3:12" x14ac:dyDescent="0.25">
      <c r="C18" s="66" t="s">
        <v>283</v>
      </c>
      <c r="D18" s="88"/>
      <c r="E18" s="88"/>
      <c r="F18" s="88"/>
      <c r="G18" s="28">
        <v>0</v>
      </c>
      <c r="L18" s="28">
        <v>0</v>
      </c>
    </row>
    <row r="19" spans="3:12" x14ac:dyDescent="0.25">
      <c r="C19" s="66" t="s">
        <v>284</v>
      </c>
      <c r="D19" s="89"/>
      <c r="E19" s="89"/>
      <c r="F19" s="89"/>
      <c r="G19" s="28">
        <v>0</v>
      </c>
      <c r="L19" s="28">
        <v>0</v>
      </c>
    </row>
    <row r="20" spans="3:12" x14ac:dyDescent="0.25">
      <c r="C20" s="66" t="s">
        <v>285</v>
      </c>
      <c r="D20" s="87"/>
      <c r="E20" s="87"/>
      <c r="F20" s="87"/>
      <c r="G20" s="28">
        <v>0</v>
      </c>
      <c r="L20" s="28">
        <v>0</v>
      </c>
    </row>
    <row r="21" spans="3:12" x14ac:dyDescent="0.25">
      <c r="C21" s="66" t="s">
        <v>286</v>
      </c>
      <c r="D21" s="92"/>
      <c r="E21" s="92"/>
      <c r="F21" s="92"/>
      <c r="G21" s="29">
        <v>0</v>
      </c>
      <c r="I21" s="1"/>
      <c r="J21" s="1"/>
      <c r="K21" s="1"/>
      <c r="L21" s="29">
        <v>0</v>
      </c>
    </row>
    <row r="22" spans="3:12" x14ac:dyDescent="0.25">
      <c r="C22" s="65" t="s">
        <v>287</v>
      </c>
      <c r="D22" s="66"/>
      <c r="E22" s="66"/>
      <c r="F22" s="66"/>
      <c r="G22" s="60">
        <v>0</v>
      </c>
      <c r="L22" s="60">
        <v>0</v>
      </c>
    </row>
    <row r="23" spans="3:12" x14ac:dyDescent="0.25">
      <c r="C23" s="65"/>
      <c r="D23" s="90"/>
      <c r="E23" s="90"/>
      <c r="F23" s="90"/>
    </row>
    <row r="24" spans="3:12" x14ac:dyDescent="0.25">
      <c r="C24" s="66" t="s">
        <v>288</v>
      </c>
      <c r="D24" s="90"/>
      <c r="E24" s="90"/>
      <c r="F24" s="90"/>
      <c r="G24" s="28">
        <v>0</v>
      </c>
      <c r="L24" s="28">
        <v>0</v>
      </c>
    </row>
    <row r="25" spans="3:12" x14ac:dyDescent="0.25">
      <c r="C25" s="66" t="s">
        <v>289</v>
      </c>
      <c r="D25" s="90"/>
      <c r="E25" s="90"/>
      <c r="F25" s="90"/>
      <c r="G25" s="28">
        <v>0</v>
      </c>
      <c r="L25" s="28">
        <v>0</v>
      </c>
    </row>
    <row r="26" spans="3:12" x14ac:dyDescent="0.25">
      <c r="C26" s="66" t="s">
        <v>284</v>
      </c>
      <c r="D26" s="90"/>
      <c r="E26" s="90"/>
      <c r="F26" s="90"/>
      <c r="G26" s="28">
        <v>0</v>
      </c>
      <c r="L26" s="28">
        <v>0</v>
      </c>
    </row>
    <row r="27" spans="3:12" x14ac:dyDescent="0.25">
      <c r="C27" s="66" t="s">
        <v>286</v>
      </c>
      <c r="D27" s="91"/>
      <c r="E27" s="91"/>
      <c r="F27" s="91"/>
      <c r="G27" s="28">
        <v>0</v>
      </c>
      <c r="L27" s="28">
        <v>0</v>
      </c>
    </row>
    <row r="28" spans="3:12" x14ac:dyDescent="0.25">
      <c r="C28" s="66" t="s">
        <v>285</v>
      </c>
      <c r="D28" s="95"/>
      <c r="E28" s="95"/>
      <c r="F28" s="95"/>
      <c r="G28" s="29">
        <v>0</v>
      </c>
      <c r="I28" s="1"/>
      <c r="J28" s="1"/>
      <c r="K28" s="1"/>
      <c r="L28" s="29">
        <v>0</v>
      </c>
    </row>
    <row r="29" spans="3:12" x14ac:dyDescent="0.25">
      <c r="C29" s="65" t="s">
        <v>290</v>
      </c>
      <c r="D29" s="66"/>
      <c r="E29" s="66"/>
      <c r="F29" s="66"/>
      <c r="G29" s="60">
        <v>0</v>
      </c>
      <c r="L29" s="60">
        <v>0</v>
      </c>
    </row>
    <row r="30" spans="3:12" x14ac:dyDescent="0.25">
      <c r="C30" s="66"/>
      <c r="D30" s="85"/>
      <c r="E30" s="85"/>
      <c r="F30" s="85"/>
    </row>
    <row r="31" spans="3:12" ht="15.75" thickBot="1" x14ac:dyDescent="0.3">
      <c r="C31" s="65" t="s">
        <v>291</v>
      </c>
      <c r="D31" s="96"/>
      <c r="E31" s="96"/>
      <c r="F31" s="96"/>
      <c r="G31" s="97">
        <f>G9+G16+G22+G29</f>
        <v>2588.2357923722625</v>
      </c>
      <c r="H31" s="2"/>
      <c r="I31" s="98"/>
      <c r="J31" s="98"/>
      <c r="K31" s="98"/>
      <c r="L31" s="97">
        <f>L9+L16+L22+L29</f>
        <v>4304.8428177451278</v>
      </c>
    </row>
    <row r="32" spans="3:12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M&amp;A</vt:lpstr>
      <vt:lpstr>Target Financials</vt:lpstr>
      <vt:lpstr>Acquirer Financials</vt:lpstr>
      <vt:lpstr>Pro Forma Financials</vt:lpstr>
      <vt:lpstr>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Yan</dc:creator>
  <cp:lastModifiedBy>Felix Yan</cp:lastModifiedBy>
  <dcterms:created xsi:type="dcterms:W3CDTF">2026-03-17T01:51:58Z</dcterms:created>
  <dcterms:modified xsi:type="dcterms:W3CDTF">2026-04-14T23:05:37Z</dcterms:modified>
</cp:coreProperties>
</file>