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bf2e776530383d/Desktop/"/>
    </mc:Choice>
  </mc:AlternateContent>
  <xr:revisionPtr revIDLastSave="0" documentId="8_{B502EFE3-C081-45C2-A876-2A1460B6161B}" xr6:coauthVersionLast="47" xr6:coauthVersionMax="47" xr10:uidLastSave="{00000000-0000-0000-0000-000000000000}"/>
  <bookViews>
    <workbookView xWindow="-120" yWindow="-120" windowWidth="29040" windowHeight="15720" xr2:uid="{F11773B1-D2E4-4759-8147-B27FB710C43E}"/>
  </bookViews>
  <sheets>
    <sheet name="Dashboard" sheetId="1" r:id="rId1"/>
    <sheet name="Rev Build" sheetId="3" r:id="rId2"/>
    <sheet name="FSM" sheetId="2" r:id="rId3"/>
    <sheet name="Intrinsic&gt;&gt;&gt;" sheetId="10" r:id="rId4"/>
    <sheet name="WACC" sheetId="6" r:id="rId5"/>
    <sheet name="DCF" sheetId="4" r:id="rId6"/>
    <sheet name="Comps&gt;&gt;&gt;" sheetId="8" r:id="rId7"/>
    <sheet name="Inputs" sheetId="5" r:id="rId8"/>
    <sheet name="Operating Metrics" sheetId="7" r:id="rId9"/>
    <sheet name="Valuation" sheetId="11" r:id="rId10"/>
  </sheets>
  <calcPr calcId="191029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D18" i="1"/>
  <c r="F17" i="1"/>
  <c r="D17" i="1"/>
  <c r="E17" i="1" s="1"/>
  <c r="O87" i="4"/>
  <c r="P87" i="4" s="1"/>
  <c r="Q87" i="4" s="1"/>
  <c r="R87" i="4" s="1"/>
  <c r="S87" i="4" s="1"/>
  <c r="M78" i="4"/>
  <c r="M79" i="4" s="1"/>
  <c r="M80" i="4" s="1"/>
  <c r="M81" i="4" s="1"/>
  <c r="M82" i="4" s="1"/>
  <c r="M89" i="4"/>
  <c r="M90" i="4" s="1"/>
  <c r="M91" i="4" s="1"/>
  <c r="M92" i="4" s="1"/>
  <c r="M93" i="4" s="1"/>
  <c r="D89" i="4"/>
  <c r="D90" i="4" s="1"/>
  <c r="D91" i="4" s="1"/>
  <c r="D92" i="4" s="1"/>
  <c r="D93" i="4" s="1"/>
  <c r="J66" i="3"/>
  <c r="K66" i="3" s="1"/>
  <c r="L66" i="3" s="1"/>
  <c r="M66" i="3" s="1"/>
  <c r="N66" i="3" s="1"/>
  <c r="O66" i="3" s="1"/>
  <c r="P66" i="3" s="1"/>
  <c r="Q66" i="3" s="1"/>
  <c r="R66" i="3" s="1"/>
  <c r="J71" i="3"/>
  <c r="K71" i="3" s="1"/>
  <c r="L71" i="3" s="1"/>
  <c r="M71" i="3" s="1"/>
  <c r="N71" i="3" s="1"/>
  <c r="O71" i="3" s="1"/>
  <c r="P71" i="3" s="1"/>
  <c r="Q71" i="3" s="1"/>
  <c r="R71" i="3" s="1"/>
  <c r="J76" i="3"/>
  <c r="K76" i="3" s="1"/>
  <c r="L76" i="3" s="1"/>
  <c r="M76" i="3" s="1"/>
  <c r="N76" i="3" s="1"/>
  <c r="O76" i="3" s="1"/>
  <c r="P76" i="3" s="1"/>
  <c r="Q76" i="3" s="1"/>
  <c r="R76" i="3" s="1"/>
  <c r="E18" i="1" l="1"/>
  <c r="F87" i="4" l="1"/>
  <c r="G87" i="4" s="1"/>
  <c r="H87" i="4" s="1"/>
  <c r="I87" i="4" s="1"/>
  <c r="J87" i="4" s="1"/>
  <c r="O76" i="4"/>
  <c r="P76" i="4" s="1"/>
  <c r="Q76" i="4" s="1"/>
  <c r="R76" i="4" s="1"/>
  <c r="S76" i="4" s="1"/>
  <c r="D78" i="4"/>
  <c r="D79" i="4" s="1"/>
  <c r="D80" i="4" s="1"/>
  <c r="D81" i="4" s="1"/>
  <c r="D82" i="4" s="1"/>
  <c r="G76" i="4"/>
  <c r="H76" i="4" s="1"/>
  <c r="I76" i="4" s="1"/>
  <c r="J76" i="4" s="1"/>
  <c r="F76" i="4"/>
  <c r="J104" i="2"/>
  <c r="K104" i="2"/>
  <c r="L104" i="2"/>
  <c r="M104" i="2"/>
  <c r="N104" i="2"/>
  <c r="O104" i="2"/>
  <c r="P104" i="2"/>
  <c r="Q104" i="2"/>
  <c r="R104" i="2"/>
  <c r="E45" i="2"/>
  <c r="F45" i="2"/>
  <c r="G45" i="2"/>
  <c r="H45" i="2"/>
  <c r="D45" i="2"/>
  <c r="O100" i="3"/>
  <c r="P100" i="3" s="1"/>
  <c r="Q100" i="3" s="1"/>
  <c r="R100" i="3" s="1"/>
  <c r="N100" i="3"/>
  <c r="L102" i="3"/>
  <c r="L103" i="3" s="1"/>
  <c r="L104" i="3" s="1"/>
  <c r="L105" i="3" s="1"/>
  <c r="L106" i="3" s="1"/>
  <c r="G100" i="3"/>
  <c r="H100" i="3"/>
  <c r="I100" i="3"/>
  <c r="J100" i="3"/>
  <c r="F100" i="3"/>
  <c r="D102" i="3"/>
  <c r="D103" i="3" s="1"/>
  <c r="D104" i="3" s="1"/>
  <c r="D105" i="3" s="1"/>
  <c r="D106" i="3" s="1"/>
  <c r="O90" i="3"/>
  <c r="P90" i="3"/>
  <c r="Q90" i="3" s="1"/>
  <c r="R90" i="3" s="1"/>
  <c r="N90" i="3"/>
  <c r="L92" i="3"/>
  <c r="L93" i="3" s="1"/>
  <c r="L94" i="3" s="1"/>
  <c r="L95" i="3" s="1"/>
  <c r="L96" i="3" s="1"/>
  <c r="D93" i="3"/>
  <c r="D94" i="3"/>
  <c r="D95" i="3"/>
  <c r="D96" i="3"/>
  <c r="D92" i="3"/>
  <c r="G90" i="3"/>
  <c r="H90" i="3"/>
  <c r="I90" i="3"/>
  <c r="J90" i="3"/>
  <c r="F90" i="3"/>
  <c r="D266" i="2" l="1"/>
  <c r="L10" i="6" l="1"/>
  <c r="L11" i="6"/>
  <c r="L12" i="6"/>
  <c r="L13" i="6"/>
  <c r="D8" i="4"/>
  <c r="T8" i="7"/>
  <c r="T9" i="7"/>
  <c r="T10" i="7"/>
  <c r="T11" i="7"/>
  <c r="V11" i="7" s="1"/>
  <c r="T12" i="7"/>
  <c r="V12" i="7" s="1"/>
  <c r="T7" i="7"/>
  <c r="S8" i="7"/>
  <c r="S9" i="7"/>
  <c r="S10" i="7"/>
  <c r="S11" i="7"/>
  <c r="Z11" i="7" s="1"/>
  <c r="S12" i="7"/>
  <c r="Z12" i="7" s="1"/>
  <c r="S7" i="7"/>
  <c r="Z7" i="7" s="1"/>
  <c r="R8" i="7"/>
  <c r="R9" i="7"/>
  <c r="R10" i="7"/>
  <c r="R11" i="7"/>
  <c r="R12" i="7"/>
  <c r="R7" i="7"/>
  <c r="Q8" i="7"/>
  <c r="V8" i="7" s="1"/>
  <c r="Q9" i="7"/>
  <c r="Q10" i="7"/>
  <c r="Q11" i="7"/>
  <c r="Q12" i="7"/>
  <c r="Q7" i="7"/>
  <c r="D12" i="11"/>
  <c r="D11" i="11"/>
  <c r="D10" i="11"/>
  <c r="D9" i="11"/>
  <c r="D8" i="11"/>
  <c r="D7" i="11"/>
  <c r="F216" i="5"/>
  <c r="H216" i="5"/>
  <c r="J216" i="5"/>
  <c r="L216" i="5"/>
  <c r="N216" i="5"/>
  <c r="D216" i="5"/>
  <c r="F208" i="5"/>
  <c r="H208" i="5"/>
  <c r="J208" i="5"/>
  <c r="L208" i="5"/>
  <c r="N208" i="5"/>
  <c r="D208" i="5"/>
  <c r="F200" i="5"/>
  <c r="H200" i="5"/>
  <c r="J200" i="5"/>
  <c r="L200" i="5"/>
  <c r="N200" i="5"/>
  <c r="D200" i="5"/>
  <c r="F192" i="5"/>
  <c r="H192" i="5"/>
  <c r="J192" i="5"/>
  <c r="L192" i="5"/>
  <c r="N192" i="5"/>
  <c r="D192" i="5"/>
  <c r="F177" i="5"/>
  <c r="H177" i="5"/>
  <c r="J177" i="5"/>
  <c r="L177" i="5"/>
  <c r="N177" i="5"/>
  <c r="D177" i="5"/>
  <c r="F176" i="5"/>
  <c r="H176" i="5"/>
  <c r="J176" i="5"/>
  <c r="L176" i="5"/>
  <c r="N176" i="5"/>
  <c r="D176" i="5"/>
  <c r="F175" i="5"/>
  <c r="H175" i="5"/>
  <c r="J175" i="5"/>
  <c r="L175" i="5"/>
  <c r="N175" i="5"/>
  <c r="D175" i="5"/>
  <c r="F167" i="5"/>
  <c r="F174" i="5" s="1"/>
  <c r="F170" i="5"/>
  <c r="F169" i="5"/>
  <c r="F168" i="5"/>
  <c r="F163" i="5"/>
  <c r="F140" i="5"/>
  <c r="F143" i="5"/>
  <c r="F142" i="5"/>
  <c r="F141" i="5"/>
  <c r="F136" i="5"/>
  <c r="N168" i="5"/>
  <c r="N167" i="5" s="1"/>
  <c r="N169" i="5"/>
  <c r="N170" i="5"/>
  <c r="N140" i="5"/>
  <c r="N143" i="5"/>
  <c r="N142" i="5"/>
  <c r="N141" i="5"/>
  <c r="N113" i="5"/>
  <c r="N116" i="5"/>
  <c r="N115" i="5"/>
  <c r="N114" i="5"/>
  <c r="L167" i="5"/>
  <c r="L174" i="5" s="1"/>
  <c r="L170" i="5"/>
  <c r="L169" i="5"/>
  <c r="L168" i="5"/>
  <c r="L140" i="5"/>
  <c r="L143" i="5"/>
  <c r="L142" i="5"/>
  <c r="L141" i="5"/>
  <c r="L113" i="5"/>
  <c r="L116" i="5"/>
  <c r="L115" i="5"/>
  <c r="L114" i="5"/>
  <c r="J113" i="5"/>
  <c r="J116" i="5"/>
  <c r="J115" i="5"/>
  <c r="J114" i="5"/>
  <c r="H113" i="5"/>
  <c r="H116" i="5"/>
  <c r="H115" i="5"/>
  <c r="H114" i="5"/>
  <c r="F113" i="5"/>
  <c r="F116" i="5"/>
  <c r="F115" i="5"/>
  <c r="F114" i="5"/>
  <c r="H174" i="5"/>
  <c r="D174" i="5"/>
  <c r="D113" i="5"/>
  <c r="D116" i="5"/>
  <c r="D115" i="5"/>
  <c r="D114" i="5"/>
  <c r="AR8" i="7"/>
  <c r="AR9" i="7"/>
  <c r="AR10" i="7"/>
  <c r="AR11" i="7"/>
  <c r="AR12" i="7"/>
  <c r="AR7" i="7"/>
  <c r="AQ8" i="7"/>
  <c r="AQ9" i="7"/>
  <c r="AQ10" i="7"/>
  <c r="AQ11" i="7"/>
  <c r="AQ12" i="7"/>
  <c r="AQ7" i="7"/>
  <c r="AF8" i="7"/>
  <c r="AF9" i="7"/>
  <c r="AF10" i="7"/>
  <c r="AF11" i="7"/>
  <c r="AF12" i="7"/>
  <c r="AF7" i="7"/>
  <c r="AE8" i="7"/>
  <c r="AE9" i="7"/>
  <c r="AE10" i="7"/>
  <c r="AE11" i="7"/>
  <c r="AE12" i="7"/>
  <c r="AE7" i="7"/>
  <c r="M8" i="7"/>
  <c r="M9" i="7"/>
  <c r="M10" i="7"/>
  <c r="M11" i="7"/>
  <c r="AA11" i="7" s="1"/>
  <c r="M12" i="7"/>
  <c r="M7" i="7"/>
  <c r="L8" i="7"/>
  <c r="L9" i="7"/>
  <c r="L10" i="7"/>
  <c r="Z10" i="7" s="1"/>
  <c r="L11" i="7"/>
  <c r="L12" i="7"/>
  <c r="L7" i="7"/>
  <c r="G8" i="7"/>
  <c r="G8" i="11" s="1"/>
  <c r="G9" i="7"/>
  <c r="G9" i="11" s="1"/>
  <c r="G10" i="7"/>
  <c r="G10" i="11" s="1"/>
  <c r="G11" i="7"/>
  <c r="G11" i="11" s="1"/>
  <c r="G12" i="7"/>
  <c r="G12" i="11" s="1"/>
  <c r="G7" i="7"/>
  <c r="G7" i="11" s="1"/>
  <c r="D8" i="7"/>
  <c r="D9" i="7"/>
  <c r="D10" i="7"/>
  <c r="D11" i="7"/>
  <c r="D12" i="7"/>
  <c r="D7" i="7"/>
  <c r="F227" i="5"/>
  <c r="H227" i="5"/>
  <c r="H228" i="5" s="1"/>
  <c r="H263" i="5" s="1"/>
  <c r="J227" i="5"/>
  <c r="J228" i="5" s="1"/>
  <c r="L227" i="5"/>
  <c r="N227" i="5"/>
  <c r="D227" i="5"/>
  <c r="D228" i="5" s="1"/>
  <c r="F173" i="5"/>
  <c r="K8" i="7" s="1"/>
  <c r="H173" i="5"/>
  <c r="K9" i="7" s="1"/>
  <c r="J173" i="5"/>
  <c r="K10" i="7" s="1"/>
  <c r="L173" i="5"/>
  <c r="K11" i="7" s="1"/>
  <c r="N173" i="5"/>
  <c r="K12" i="7" s="1"/>
  <c r="D173" i="5"/>
  <c r="K7" i="7" s="1"/>
  <c r="F148" i="5"/>
  <c r="F150" i="5" s="1"/>
  <c r="Y7" i="7" l="1"/>
  <c r="AA9" i="7"/>
  <c r="Y12" i="7"/>
  <c r="AA8" i="7"/>
  <c r="Z9" i="7"/>
  <c r="Z8" i="7"/>
  <c r="AA7" i="7"/>
  <c r="V10" i="7"/>
  <c r="V7" i="7"/>
  <c r="V14" i="7" s="1"/>
  <c r="Y10" i="7"/>
  <c r="Y9" i="7"/>
  <c r="AA12" i="7"/>
  <c r="Y11" i="7"/>
  <c r="Y8" i="7"/>
  <c r="V9" i="7"/>
  <c r="V17" i="7"/>
  <c r="AA10" i="7"/>
  <c r="AM10" i="7"/>
  <c r="N174" i="5"/>
  <c r="J174" i="5"/>
  <c r="AX7" i="7"/>
  <c r="AL7" i="7"/>
  <c r="J249" i="5"/>
  <c r="J260" i="5"/>
  <c r="AL10" i="7"/>
  <c r="D246" i="5"/>
  <c r="J256" i="5"/>
  <c r="AX11" i="7"/>
  <c r="J263" i="5"/>
  <c r="AX10" i="7"/>
  <c r="AL12" i="7"/>
  <c r="AX9" i="7"/>
  <c r="J235" i="5"/>
  <c r="D263" i="5"/>
  <c r="AL11" i="7"/>
  <c r="J233" i="5"/>
  <c r="J262" i="5"/>
  <c r="AY11" i="7"/>
  <c r="J247" i="5"/>
  <c r="AY10" i="7"/>
  <c r="AM11" i="7"/>
  <c r="H247" i="5"/>
  <c r="H233" i="5"/>
  <c r="AL9" i="7"/>
  <c r="H242" i="5"/>
  <c r="H256" i="5"/>
  <c r="AY9" i="7"/>
  <c r="AM9" i="7"/>
  <c r="D239" i="5"/>
  <c r="H261" i="5"/>
  <c r="AY8" i="7"/>
  <c r="D240" i="5"/>
  <c r="J255" i="5"/>
  <c r="AM8" i="7"/>
  <c r="D234" i="5"/>
  <c r="D261" i="5"/>
  <c r="D248" i="5"/>
  <c r="J253" i="5"/>
  <c r="AL8" i="7"/>
  <c r="AX12" i="7"/>
  <c r="AX8" i="7"/>
  <c r="D235" i="5"/>
  <c r="D262" i="5"/>
  <c r="D254" i="5"/>
  <c r="J232" i="5"/>
  <c r="D232" i="5"/>
  <c r="J246" i="5"/>
  <c r="D249" i="5"/>
  <c r="D255" i="5"/>
  <c r="D253" i="5"/>
  <c r="N228" i="5"/>
  <c r="N232" i="5" s="1"/>
  <c r="AY7" i="7"/>
  <c r="AM12" i="7"/>
  <c r="L228" i="5"/>
  <c r="L260" i="5" s="1"/>
  <c r="AM7" i="7"/>
  <c r="H239" i="5"/>
  <c r="F228" i="5"/>
  <c r="F232" i="5" s="1"/>
  <c r="H254" i="5"/>
  <c r="H260" i="5"/>
  <c r="H235" i="5"/>
  <c r="H249" i="5"/>
  <c r="AY12" i="7"/>
  <c r="H232" i="5"/>
  <c r="J240" i="5"/>
  <c r="H246" i="5"/>
  <c r="J242" i="5"/>
  <c r="H255" i="5"/>
  <c r="J261" i="5"/>
  <c r="H240" i="5"/>
  <c r="D260" i="5"/>
  <c r="H253" i="5"/>
  <c r="J234" i="5"/>
  <c r="J241" i="5"/>
  <c r="J248" i="5"/>
  <c r="H262" i="5"/>
  <c r="D233" i="5"/>
  <c r="J239" i="5"/>
  <c r="D247" i="5"/>
  <c r="H234" i="5"/>
  <c r="H241" i="5"/>
  <c r="H248" i="5"/>
  <c r="D256" i="5"/>
  <c r="J254" i="5"/>
  <c r="F152" i="5"/>
  <c r="F158" i="5"/>
  <c r="N184" i="5"/>
  <c r="N97" i="5"/>
  <c r="N94" i="5"/>
  <c r="N96" i="5" s="1"/>
  <c r="N148" i="5"/>
  <c r="N150" i="5" s="1"/>
  <c r="N121" i="5"/>
  <c r="N123" i="5" s="1"/>
  <c r="N80" i="5"/>
  <c r="N81" i="5"/>
  <c r="N75" i="5"/>
  <c r="N66" i="5"/>
  <c r="N63" i="5"/>
  <c r="N50" i="5"/>
  <c r="N83" i="5" s="1"/>
  <c r="N34" i="5"/>
  <c r="N25" i="5"/>
  <c r="N26" i="5" s="1"/>
  <c r="N27" i="5" s="1"/>
  <c r="N21" i="5"/>
  <c r="L184" i="5"/>
  <c r="L148" i="5"/>
  <c r="L150" i="5" s="1"/>
  <c r="L124" i="5"/>
  <c r="L121" i="5"/>
  <c r="L123" i="5" s="1"/>
  <c r="L94" i="5"/>
  <c r="L96" i="5" s="1"/>
  <c r="L80" i="5"/>
  <c r="L81" i="5"/>
  <c r="L75" i="5"/>
  <c r="L66" i="5"/>
  <c r="L63" i="5"/>
  <c r="L50" i="5"/>
  <c r="L83" i="5" s="1"/>
  <c r="L39" i="5"/>
  <c r="L34" i="5"/>
  <c r="L25" i="5"/>
  <c r="L26" i="5" s="1"/>
  <c r="L27" i="5" s="1"/>
  <c r="L28" i="5" s="1"/>
  <c r="L21" i="5"/>
  <c r="J184" i="5"/>
  <c r="J94" i="5"/>
  <c r="J96" i="5" s="1"/>
  <c r="J80" i="5"/>
  <c r="J81" i="5"/>
  <c r="J75" i="5"/>
  <c r="H66" i="5"/>
  <c r="J66" i="5"/>
  <c r="H63" i="5"/>
  <c r="J63" i="5"/>
  <c r="J50" i="5"/>
  <c r="J83" i="5" s="1"/>
  <c r="J34" i="5"/>
  <c r="J25" i="5"/>
  <c r="J26" i="5" s="1"/>
  <c r="J27" i="5" s="1"/>
  <c r="J21" i="5"/>
  <c r="H184" i="5"/>
  <c r="H94" i="5"/>
  <c r="H96" i="5" s="1"/>
  <c r="H245" i="5" s="1"/>
  <c r="H80" i="5"/>
  <c r="H81" i="5"/>
  <c r="H75" i="5"/>
  <c r="H50" i="5"/>
  <c r="H83" i="5" s="1"/>
  <c r="H34" i="5"/>
  <c r="H25" i="5"/>
  <c r="H21" i="5"/>
  <c r="F184" i="5"/>
  <c r="F94" i="5"/>
  <c r="F96" i="5" s="1"/>
  <c r="F121" i="5"/>
  <c r="F123" i="5" s="1"/>
  <c r="F125" i="5" s="1"/>
  <c r="F134" i="5" s="1"/>
  <c r="F80" i="5"/>
  <c r="F81" i="5"/>
  <c r="F75" i="5"/>
  <c r="F63" i="5"/>
  <c r="F50" i="5"/>
  <c r="F83" i="5" s="1"/>
  <c r="F33" i="5"/>
  <c r="F32" i="5" s="1"/>
  <c r="F34" i="5" s="1"/>
  <c r="F64" i="5" s="1"/>
  <c r="F66" i="5" s="1"/>
  <c r="F25" i="5"/>
  <c r="F21" i="5"/>
  <c r="D184" i="5"/>
  <c r="D94" i="5"/>
  <c r="D96" i="5" s="1"/>
  <c r="D245" i="5" s="1"/>
  <c r="D81" i="5"/>
  <c r="D80" i="5"/>
  <c r="D75" i="5"/>
  <c r="D63" i="5"/>
  <c r="D50" i="5"/>
  <c r="D83" i="5" s="1"/>
  <c r="D33" i="5"/>
  <c r="D32" i="5" s="1"/>
  <c r="D34" i="5" s="1"/>
  <c r="D64" i="5" s="1"/>
  <c r="D66" i="5" s="1"/>
  <c r="D25" i="5"/>
  <c r="D21" i="5"/>
  <c r="V15" i="7" l="1"/>
  <c r="V16" i="7"/>
  <c r="L79" i="5"/>
  <c r="L84" i="5" s="1"/>
  <c r="L263" i="5"/>
  <c r="N234" i="5"/>
  <c r="N253" i="5"/>
  <c r="N262" i="5"/>
  <c r="N263" i="5"/>
  <c r="N260" i="5"/>
  <c r="N235" i="5"/>
  <c r="L254" i="5"/>
  <c r="N246" i="5"/>
  <c r="N245" i="5"/>
  <c r="N261" i="5"/>
  <c r="L240" i="5"/>
  <c r="L261" i="5"/>
  <c r="L233" i="5"/>
  <c r="L247" i="5"/>
  <c r="N233" i="5"/>
  <c r="L248" i="5"/>
  <c r="L242" i="5"/>
  <c r="N239" i="5"/>
  <c r="L256" i="5"/>
  <c r="N247" i="5"/>
  <c r="N248" i="5"/>
  <c r="L239" i="5"/>
  <c r="N256" i="5"/>
  <c r="N249" i="5"/>
  <c r="L245" i="5"/>
  <c r="F247" i="5"/>
  <c r="L234" i="5"/>
  <c r="F256" i="5"/>
  <c r="F253" i="5"/>
  <c r="F262" i="5"/>
  <c r="L231" i="5"/>
  <c r="J11" i="7"/>
  <c r="F254" i="5"/>
  <c r="F260" i="5"/>
  <c r="F231" i="5"/>
  <c r="J8" i="7"/>
  <c r="D231" i="5"/>
  <c r="J7" i="7"/>
  <c r="F248" i="5"/>
  <c r="F239" i="5"/>
  <c r="F240" i="5"/>
  <c r="F241" i="5"/>
  <c r="F242" i="5"/>
  <c r="F234" i="5"/>
  <c r="F261" i="5"/>
  <c r="F255" i="5"/>
  <c r="F263" i="5"/>
  <c r="F245" i="5"/>
  <c r="F249" i="5"/>
  <c r="N231" i="5"/>
  <c r="J12" i="7"/>
  <c r="F246" i="5"/>
  <c r="J10" i="7"/>
  <c r="J231" i="5"/>
  <c r="J9" i="7"/>
  <c r="H231" i="5"/>
  <c r="F235" i="5"/>
  <c r="N240" i="5"/>
  <c r="N255" i="5"/>
  <c r="N254" i="5"/>
  <c r="F233" i="5"/>
  <c r="L232" i="5"/>
  <c r="L246" i="5"/>
  <c r="L235" i="5"/>
  <c r="L249" i="5"/>
  <c r="L255" i="5"/>
  <c r="L262" i="5"/>
  <c r="L241" i="5"/>
  <c r="L253" i="5"/>
  <c r="N79" i="5"/>
  <c r="N84" i="5" s="1"/>
  <c r="J245" i="5"/>
  <c r="L43" i="5"/>
  <c r="L76" i="5" s="1"/>
  <c r="L77" i="5" s="1"/>
  <c r="M12" i="6" s="1"/>
  <c r="N28" i="5"/>
  <c r="N43" i="5" s="1"/>
  <c r="N76" i="5" s="1"/>
  <c r="N77" i="5" s="1"/>
  <c r="N125" i="5"/>
  <c r="N131" i="5"/>
  <c r="L104" i="5"/>
  <c r="L98" i="5"/>
  <c r="N158" i="5"/>
  <c r="N152" i="5"/>
  <c r="L131" i="5"/>
  <c r="L125" i="5"/>
  <c r="N104" i="5"/>
  <c r="N98" i="5"/>
  <c r="L158" i="5"/>
  <c r="L152" i="5"/>
  <c r="D98" i="5"/>
  <c r="D100" i="5" s="1"/>
  <c r="F79" i="5"/>
  <c r="H104" i="5"/>
  <c r="H79" i="5"/>
  <c r="H84" i="5" s="1"/>
  <c r="D104" i="5"/>
  <c r="F154" i="5"/>
  <c r="F159" i="5" s="1"/>
  <c r="F161" i="5"/>
  <c r="J104" i="5"/>
  <c r="J98" i="5"/>
  <c r="J79" i="5"/>
  <c r="J84" i="5" s="1"/>
  <c r="F104" i="5"/>
  <c r="F98" i="5"/>
  <c r="H98" i="5"/>
  <c r="H26" i="5"/>
  <c r="H27" i="5" s="1"/>
  <c r="H28" i="5" s="1"/>
  <c r="H43" i="5" s="1"/>
  <c r="H76" i="5" s="1"/>
  <c r="H77" i="5" s="1"/>
  <c r="F131" i="5"/>
  <c r="J28" i="5"/>
  <c r="J43" i="5" s="1"/>
  <c r="J76" i="5" s="1"/>
  <c r="J77" i="5" s="1"/>
  <c r="F127" i="5"/>
  <c r="F132" i="5" s="1"/>
  <c r="F26" i="5"/>
  <c r="F27" i="5" s="1"/>
  <c r="F28" i="5" s="1"/>
  <c r="F43" i="5" s="1"/>
  <c r="F76" i="5" s="1"/>
  <c r="F77" i="5" s="1"/>
  <c r="D79" i="5"/>
  <c r="D26" i="5"/>
  <c r="D27" i="5" s="1"/>
  <c r="D28" i="5" s="1"/>
  <c r="D43" i="5" s="1"/>
  <c r="D76" i="5" s="1"/>
  <c r="D77" i="5" s="1"/>
  <c r="L43" i="4"/>
  <c r="M43" i="4"/>
  <c r="N43" i="4"/>
  <c r="O43" i="4"/>
  <c r="P43" i="4"/>
  <c r="Q43" i="4"/>
  <c r="R43" i="4"/>
  <c r="S43" i="4"/>
  <c r="K43" i="4"/>
  <c r="I43" i="4"/>
  <c r="J43" i="4" s="1"/>
  <c r="K9" i="4"/>
  <c r="S54" i="4"/>
  <c r="S55" i="4" s="1"/>
  <c r="S56" i="4" s="1"/>
  <c r="S51" i="4"/>
  <c r="N55" i="4"/>
  <c r="N16" i="6" s="1"/>
  <c r="N56" i="4"/>
  <c r="N58" i="4"/>
  <c r="D10" i="4"/>
  <c r="K13" i="4"/>
  <c r="L13" i="4" s="1"/>
  <c r="M13" i="4" s="1"/>
  <c r="N13" i="4" s="1"/>
  <c r="O13" i="4" s="1"/>
  <c r="P13" i="4" s="1"/>
  <c r="Q13" i="4" s="1"/>
  <c r="R13" i="4" s="1"/>
  <c r="S13" i="4" s="1"/>
  <c r="F12" i="7" l="1"/>
  <c r="F12" i="11" s="1"/>
  <c r="U12" i="11" s="1"/>
  <c r="M13" i="6"/>
  <c r="F10" i="7"/>
  <c r="F10" i="11" s="1"/>
  <c r="I10" i="11" s="1"/>
  <c r="M11" i="6"/>
  <c r="F9" i="7"/>
  <c r="F9" i="11" s="1"/>
  <c r="I9" i="11" s="1"/>
  <c r="M10" i="6"/>
  <c r="F8" i="7"/>
  <c r="F8" i="11" s="1"/>
  <c r="U8" i="11" s="1"/>
  <c r="M9" i="6"/>
  <c r="F84" i="5"/>
  <c r="L9" i="6"/>
  <c r="D84" i="5"/>
  <c r="D86" i="5" s="1"/>
  <c r="E7" i="7" s="1"/>
  <c r="E7" i="11" s="1"/>
  <c r="L8" i="6"/>
  <c r="F7" i="7"/>
  <c r="F7" i="11" s="1"/>
  <c r="V7" i="11" s="1"/>
  <c r="M8" i="6"/>
  <c r="O9" i="7"/>
  <c r="X9" i="7"/>
  <c r="O12" i="7"/>
  <c r="X12" i="7"/>
  <c r="O7" i="7"/>
  <c r="X7" i="7"/>
  <c r="O8" i="7"/>
  <c r="X8" i="7"/>
  <c r="O11" i="7"/>
  <c r="X11" i="7"/>
  <c r="I8" i="11"/>
  <c r="V8" i="11"/>
  <c r="O10" i="7"/>
  <c r="X10" i="7"/>
  <c r="L86" i="5"/>
  <c r="E11" i="7" s="1"/>
  <c r="E11" i="11" s="1"/>
  <c r="F11" i="7"/>
  <c r="F11" i="11" s="1"/>
  <c r="AC12" i="7"/>
  <c r="N238" i="5"/>
  <c r="AC8" i="7"/>
  <c r="F238" i="5"/>
  <c r="L238" i="5"/>
  <c r="AC11" i="7"/>
  <c r="N86" i="5"/>
  <c r="E12" i="7" s="1"/>
  <c r="E12" i="11" s="1"/>
  <c r="AD7" i="7"/>
  <c r="AK7" i="7" s="1"/>
  <c r="AD10" i="7"/>
  <c r="AK10" i="7" s="1"/>
  <c r="AP7" i="7"/>
  <c r="AW7" i="7" s="1"/>
  <c r="D105" i="5"/>
  <c r="AD9" i="7"/>
  <c r="AK9" i="7" s="1"/>
  <c r="D107" i="5"/>
  <c r="AD8" i="7"/>
  <c r="AK8" i="7" s="1"/>
  <c r="AD12" i="7"/>
  <c r="AK12" i="7" s="1"/>
  <c r="N107" i="5"/>
  <c r="N100" i="5"/>
  <c r="L134" i="5"/>
  <c r="L127" i="5"/>
  <c r="L132" i="5" s="1"/>
  <c r="N161" i="5"/>
  <c r="N154" i="5"/>
  <c r="N159" i="5" s="1"/>
  <c r="L107" i="5"/>
  <c r="L100" i="5"/>
  <c r="AD11" i="7"/>
  <c r="J86" i="5"/>
  <c r="E10" i="7" s="1"/>
  <c r="E10" i="11" s="1"/>
  <c r="N134" i="5"/>
  <c r="N127" i="5"/>
  <c r="N132" i="5" s="1"/>
  <c r="L161" i="5"/>
  <c r="L154" i="5"/>
  <c r="L159" i="5" s="1"/>
  <c r="J107" i="5"/>
  <c r="J100" i="5"/>
  <c r="H86" i="5"/>
  <c r="E9" i="7" s="1"/>
  <c r="E9" i="11" s="1"/>
  <c r="H107" i="5"/>
  <c r="H100" i="5"/>
  <c r="F100" i="5"/>
  <c r="F107" i="5"/>
  <c r="F86" i="5"/>
  <c r="E8" i="7" s="1"/>
  <c r="E8" i="11" s="1"/>
  <c r="S60" i="4"/>
  <c r="N60" i="4"/>
  <c r="I12" i="11" l="1"/>
  <c r="V12" i="11"/>
  <c r="U10" i="11"/>
  <c r="U14" i="11" s="1"/>
  <c r="V10" i="11"/>
  <c r="V9" i="11"/>
  <c r="U9" i="11"/>
  <c r="U7" i="11"/>
  <c r="I7" i="11"/>
  <c r="E68" i="4"/>
  <c r="N17" i="6"/>
  <c r="O17" i="7"/>
  <c r="T7" i="11"/>
  <c r="O15" i="7"/>
  <c r="O16" i="7"/>
  <c r="P10" i="11"/>
  <c r="L10" i="11"/>
  <c r="Q10" i="11"/>
  <c r="M10" i="11"/>
  <c r="N10" i="11"/>
  <c r="R10" i="11"/>
  <c r="P9" i="11"/>
  <c r="L9" i="11"/>
  <c r="R9" i="11"/>
  <c r="M9" i="11"/>
  <c r="N9" i="11"/>
  <c r="Q9" i="11"/>
  <c r="N12" i="11"/>
  <c r="P12" i="11"/>
  <c r="L12" i="11"/>
  <c r="Q12" i="11"/>
  <c r="R12" i="11"/>
  <c r="M12" i="11"/>
  <c r="L8" i="11"/>
  <c r="N8" i="11"/>
  <c r="Q8" i="11"/>
  <c r="R8" i="11"/>
  <c r="M8" i="11"/>
  <c r="P8" i="11"/>
  <c r="I11" i="11"/>
  <c r="U11" i="11"/>
  <c r="V11" i="11"/>
  <c r="Q7" i="11"/>
  <c r="R7" i="11"/>
  <c r="P7" i="11"/>
  <c r="M7" i="11"/>
  <c r="N7" i="11"/>
  <c r="L7" i="11"/>
  <c r="O14" i="7"/>
  <c r="P11" i="11"/>
  <c r="L11" i="11"/>
  <c r="Q11" i="11"/>
  <c r="R11" i="11"/>
  <c r="M11" i="11"/>
  <c r="N11" i="11"/>
  <c r="H12" i="11"/>
  <c r="J12" i="11"/>
  <c r="J8" i="11"/>
  <c r="H8" i="11"/>
  <c r="J10" i="11"/>
  <c r="H10" i="11"/>
  <c r="J7" i="11"/>
  <c r="H7" i="11"/>
  <c r="J9" i="11"/>
  <c r="H9" i="11"/>
  <c r="J11" i="11"/>
  <c r="H11" i="11"/>
  <c r="H9" i="7"/>
  <c r="H10" i="7"/>
  <c r="H8" i="7"/>
  <c r="H7" i="7"/>
  <c r="AK11" i="7"/>
  <c r="H11" i="7"/>
  <c r="J238" i="5"/>
  <c r="AC10" i="7"/>
  <c r="H12" i="7"/>
  <c r="AC9" i="7"/>
  <c r="H238" i="5"/>
  <c r="AJ8" i="7"/>
  <c r="AH8" i="7"/>
  <c r="D252" i="5"/>
  <c r="AO7" i="7"/>
  <c r="D238" i="5"/>
  <c r="AC7" i="7"/>
  <c r="AJ12" i="7"/>
  <c r="AH12" i="7"/>
  <c r="AJ11" i="7"/>
  <c r="AH11" i="7"/>
  <c r="AP9" i="7"/>
  <c r="H105" i="5"/>
  <c r="N105" i="5"/>
  <c r="D259" i="5"/>
  <c r="AP8" i="7"/>
  <c r="F105" i="5"/>
  <c r="AP10" i="7"/>
  <c r="J105" i="5"/>
  <c r="L105" i="5"/>
  <c r="AP11" i="7"/>
  <c r="AW11" i="7" s="1"/>
  <c r="AP12" i="7"/>
  <c r="D68" i="4"/>
  <c r="E66" i="4"/>
  <c r="D66" i="4"/>
  <c r="U17" i="11" l="1"/>
  <c r="V17" i="11"/>
  <c r="U15" i="11"/>
  <c r="U16" i="11"/>
  <c r="I16" i="11"/>
  <c r="I17" i="11"/>
  <c r="I14" i="11"/>
  <c r="T11" i="11"/>
  <c r="H14" i="11"/>
  <c r="H17" i="11"/>
  <c r="H16" i="11"/>
  <c r="H15" i="11"/>
  <c r="N15" i="11"/>
  <c r="N14" i="11"/>
  <c r="N17" i="11"/>
  <c r="N16" i="11"/>
  <c r="L14" i="11"/>
  <c r="L17" i="11"/>
  <c r="L16" i="11"/>
  <c r="L15" i="11"/>
  <c r="M14" i="11"/>
  <c r="M17" i="11"/>
  <c r="M16" i="11"/>
  <c r="M15" i="11"/>
  <c r="Q15" i="11"/>
  <c r="Q14" i="11"/>
  <c r="Q17" i="11"/>
  <c r="Q16" i="11"/>
  <c r="J14" i="11"/>
  <c r="J17" i="11"/>
  <c r="J16" i="11"/>
  <c r="J15" i="11"/>
  <c r="AW8" i="7"/>
  <c r="T8" i="11"/>
  <c r="AW9" i="7"/>
  <c r="T9" i="11"/>
  <c r="R15" i="11"/>
  <c r="R14" i="11"/>
  <c r="R17" i="11"/>
  <c r="R16" i="11"/>
  <c r="P15" i="11"/>
  <c r="P14" i="11"/>
  <c r="I52" i="4" s="1"/>
  <c r="P17" i="11"/>
  <c r="P16" i="11"/>
  <c r="V15" i="11"/>
  <c r="V14" i="11"/>
  <c r="I15" i="11"/>
  <c r="V16" i="11"/>
  <c r="AW10" i="7"/>
  <c r="T10" i="11"/>
  <c r="H16" i="7"/>
  <c r="H17" i="7"/>
  <c r="H14" i="7"/>
  <c r="H15" i="7"/>
  <c r="AW12" i="7"/>
  <c r="T12" i="11"/>
  <c r="AO8" i="7"/>
  <c r="F252" i="5"/>
  <c r="AV7" i="7"/>
  <c r="AT7" i="7"/>
  <c r="AJ9" i="7"/>
  <c r="AH9" i="7"/>
  <c r="AJ10" i="7"/>
  <c r="AH10" i="7"/>
  <c r="N252" i="5"/>
  <c r="AO12" i="7"/>
  <c r="AO9" i="7"/>
  <c r="H252" i="5"/>
  <c r="L252" i="5"/>
  <c r="AO11" i="7"/>
  <c r="J252" i="5"/>
  <c r="AO10" i="7"/>
  <c r="AJ7" i="7"/>
  <c r="AH7" i="7"/>
  <c r="L259" i="5"/>
  <c r="J259" i="5"/>
  <c r="F259" i="5"/>
  <c r="N259" i="5"/>
  <c r="H259" i="5"/>
  <c r="H38" i="6"/>
  <c r="H29" i="6"/>
  <c r="J32" i="6"/>
  <c r="K32" i="6" s="1"/>
  <c r="L32" i="6" s="1"/>
  <c r="M32" i="6" s="1"/>
  <c r="N32" i="6" s="1"/>
  <c r="H34" i="6"/>
  <c r="H35" i="6" s="1"/>
  <c r="H36" i="6" s="1"/>
  <c r="H37" i="6" s="1"/>
  <c r="H25" i="6"/>
  <c r="H26" i="6" s="1"/>
  <c r="H27" i="6" s="1"/>
  <c r="H28" i="6" s="1"/>
  <c r="J23" i="6"/>
  <c r="K23" i="6" s="1"/>
  <c r="L23" i="6" s="1"/>
  <c r="M23" i="6" s="1"/>
  <c r="N23" i="6" s="1"/>
  <c r="F16" i="6"/>
  <c r="F13" i="6"/>
  <c r="N9" i="6"/>
  <c r="N10" i="6"/>
  <c r="N11" i="6"/>
  <c r="N12" i="6"/>
  <c r="N13" i="6"/>
  <c r="N8" i="6"/>
  <c r="F7" i="6"/>
  <c r="F22" i="6" s="1"/>
  <c r="F23" i="6" s="1"/>
  <c r="F25" i="6" s="1"/>
  <c r="H220" i="2"/>
  <c r="I217" i="2" s="1"/>
  <c r="E215" i="2"/>
  <c r="F215" i="2" s="1"/>
  <c r="G215" i="2" s="1"/>
  <c r="H215" i="2" s="1"/>
  <c r="I215" i="2" s="1"/>
  <c r="J215" i="2" s="1"/>
  <c r="K215" i="2" s="1"/>
  <c r="L215" i="2" s="1"/>
  <c r="M215" i="2" s="1"/>
  <c r="N215" i="2" s="1"/>
  <c r="O215" i="2" s="1"/>
  <c r="P215" i="2" s="1"/>
  <c r="Q215" i="2" s="1"/>
  <c r="R215" i="2" s="1"/>
  <c r="J95" i="2"/>
  <c r="K95" i="2"/>
  <c r="L95" i="2"/>
  <c r="M95" i="2"/>
  <c r="N95" i="2"/>
  <c r="O95" i="2"/>
  <c r="P95" i="2"/>
  <c r="Q95" i="2"/>
  <c r="R95" i="2"/>
  <c r="I25" i="2"/>
  <c r="J25" i="2" s="1"/>
  <c r="K25" i="2" s="1"/>
  <c r="L25" i="2" s="1"/>
  <c r="M25" i="2" s="1"/>
  <c r="N25" i="2" s="1"/>
  <c r="O25" i="2" s="1"/>
  <c r="P25" i="2" s="1"/>
  <c r="Q25" i="2" s="1"/>
  <c r="R25" i="2" s="1"/>
  <c r="I73" i="2"/>
  <c r="J73" i="2" s="1"/>
  <c r="K73" i="2" s="1"/>
  <c r="L73" i="2" s="1"/>
  <c r="M73" i="2" s="1"/>
  <c r="N73" i="2" s="1"/>
  <c r="O73" i="2" s="1"/>
  <c r="P73" i="2" s="1"/>
  <c r="Q73" i="2" s="1"/>
  <c r="R73" i="2" s="1"/>
  <c r="I70" i="2"/>
  <c r="J70" i="2" s="1"/>
  <c r="K70" i="2" s="1"/>
  <c r="L70" i="2" s="1"/>
  <c r="M70" i="2" s="1"/>
  <c r="N70" i="2" s="1"/>
  <c r="O70" i="2" s="1"/>
  <c r="P70" i="2" s="1"/>
  <c r="Q70" i="2" s="1"/>
  <c r="R70" i="2" s="1"/>
  <c r="I95" i="2"/>
  <c r="J65" i="2"/>
  <c r="K65" i="2"/>
  <c r="L65" i="2"/>
  <c r="M65" i="2"/>
  <c r="N65" i="2"/>
  <c r="O65" i="2"/>
  <c r="P65" i="2"/>
  <c r="Q65" i="2"/>
  <c r="R65" i="2"/>
  <c r="I65" i="2"/>
  <c r="J102" i="2"/>
  <c r="K102" i="2"/>
  <c r="L102" i="2"/>
  <c r="M102" i="2"/>
  <c r="N102" i="2"/>
  <c r="O102" i="2"/>
  <c r="P102" i="2"/>
  <c r="Q102" i="2"/>
  <c r="R102" i="2"/>
  <c r="I102" i="2"/>
  <c r="I227" i="2"/>
  <c r="J46" i="3"/>
  <c r="K46" i="3" s="1"/>
  <c r="L46" i="3" s="1"/>
  <c r="M46" i="3" s="1"/>
  <c r="N46" i="3" s="1"/>
  <c r="O46" i="3" s="1"/>
  <c r="P46" i="3" s="1"/>
  <c r="Q46" i="3" s="1"/>
  <c r="R46" i="3" s="1"/>
  <c r="I107" i="2"/>
  <c r="E257" i="2"/>
  <c r="F254" i="2" s="1"/>
  <c r="F257" i="2"/>
  <c r="G254" i="2" s="1"/>
  <c r="G257" i="2"/>
  <c r="H254" i="2" s="1"/>
  <c r="H257" i="2"/>
  <c r="I254" i="2" s="1"/>
  <c r="D257" i="2"/>
  <c r="E254" i="2" s="1"/>
  <c r="I256" i="2"/>
  <c r="J256" i="2" s="1"/>
  <c r="K256" i="2" s="1"/>
  <c r="K271" i="2" s="1"/>
  <c r="E247" i="2"/>
  <c r="E246" i="2" s="1"/>
  <c r="F247" i="2"/>
  <c r="F246" i="2" s="1"/>
  <c r="G247" i="2"/>
  <c r="G246" i="2" s="1"/>
  <c r="H247" i="2"/>
  <c r="H246" i="2" s="1"/>
  <c r="I246" i="2" s="1"/>
  <c r="J246" i="2" s="1"/>
  <c r="K246" i="2" s="1"/>
  <c r="L246" i="2" s="1"/>
  <c r="M246" i="2" s="1"/>
  <c r="N246" i="2" s="1"/>
  <c r="O246" i="2" s="1"/>
  <c r="P246" i="2" s="1"/>
  <c r="Q246" i="2" s="1"/>
  <c r="R246" i="2" s="1"/>
  <c r="D247" i="2"/>
  <c r="D246" i="2" s="1"/>
  <c r="J56" i="2"/>
  <c r="K56" i="2"/>
  <c r="L56" i="2"/>
  <c r="M56" i="2"/>
  <c r="N56" i="2"/>
  <c r="O56" i="2"/>
  <c r="P56" i="2"/>
  <c r="Q56" i="2"/>
  <c r="R56" i="2"/>
  <c r="I56" i="2"/>
  <c r="I93" i="2" s="1"/>
  <c r="E262" i="2"/>
  <c r="F262" i="2" s="1"/>
  <c r="G262" i="2" s="1"/>
  <c r="H262" i="2" s="1"/>
  <c r="I262" i="2" s="1"/>
  <c r="J262" i="2" s="1"/>
  <c r="K262" i="2" s="1"/>
  <c r="L262" i="2" s="1"/>
  <c r="M262" i="2" s="1"/>
  <c r="N262" i="2" s="1"/>
  <c r="O262" i="2" s="1"/>
  <c r="P262" i="2" s="1"/>
  <c r="Q262" i="2" s="1"/>
  <c r="R262" i="2" s="1"/>
  <c r="H189" i="2"/>
  <c r="G189" i="2"/>
  <c r="E183" i="2"/>
  <c r="F183" i="2"/>
  <c r="G180" i="2" s="1"/>
  <c r="G183" i="2"/>
  <c r="H180" i="2" s="1"/>
  <c r="H183" i="2"/>
  <c r="I180" i="2" s="1"/>
  <c r="D183" i="2"/>
  <c r="E180" i="2" s="1"/>
  <c r="E58" i="2"/>
  <c r="F58" i="2"/>
  <c r="G58" i="2"/>
  <c r="H58" i="2"/>
  <c r="D58" i="2"/>
  <c r="F173" i="2"/>
  <c r="G173" i="2"/>
  <c r="H173" i="2"/>
  <c r="I173" i="2" s="1"/>
  <c r="J173" i="2" s="1"/>
  <c r="K173" i="2" s="1"/>
  <c r="L173" i="2" s="1"/>
  <c r="M173" i="2" s="1"/>
  <c r="N173" i="2" s="1"/>
  <c r="O173" i="2" s="1"/>
  <c r="P173" i="2" s="1"/>
  <c r="Q173" i="2" s="1"/>
  <c r="R173" i="2" s="1"/>
  <c r="E173" i="2"/>
  <c r="E168" i="2"/>
  <c r="F166" i="2" s="1"/>
  <c r="F168" i="2"/>
  <c r="G168" i="2"/>
  <c r="H168" i="2"/>
  <c r="I166" i="2" s="1"/>
  <c r="D168" i="2"/>
  <c r="E166" i="2" s="1"/>
  <c r="F163" i="2"/>
  <c r="G163" i="2"/>
  <c r="H163" i="2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E163" i="2"/>
  <c r="E158" i="2"/>
  <c r="F156" i="2" s="1"/>
  <c r="F158" i="2"/>
  <c r="G156" i="2" s="1"/>
  <c r="G158" i="2"/>
  <c r="H156" i="2" s="1"/>
  <c r="H158" i="2"/>
  <c r="I156" i="2" s="1"/>
  <c r="D158" i="2"/>
  <c r="E156" i="2" s="1"/>
  <c r="E67" i="2"/>
  <c r="F67" i="2"/>
  <c r="G67" i="2"/>
  <c r="H67" i="2"/>
  <c r="D67" i="2"/>
  <c r="F153" i="2"/>
  <c r="G153" i="2"/>
  <c r="H153" i="2"/>
  <c r="I153" i="2" s="1"/>
  <c r="J153" i="2" s="1"/>
  <c r="K153" i="2" s="1"/>
  <c r="L153" i="2" s="1"/>
  <c r="M153" i="2" s="1"/>
  <c r="N153" i="2" s="1"/>
  <c r="O153" i="2" s="1"/>
  <c r="P153" i="2" s="1"/>
  <c r="Q153" i="2" s="1"/>
  <c r="R153" i="2" s="1"/>
  <c r="E153" i="2"/>
  <c r="E148" i="2"/>
  <c r="F146" i="2" s="1"/>
  <c r="F148" i="2"/>
  <c r="G146" i="2" s="1"/>
  <c r="G148" i="2"/>
  <c r="H146" i="2" s="1"/>
  <c r="H148" i="2"/>
  <c r="I146" i="2" s="1"/>
  <c r="D148" i="2"/>
  <c r="E146" i="2" s="1"/>
  <c r="F143" i="2"/>
  <c r="G143" i="2"/>
  <c r="H143" i="2"/>
  <c r="I143" i="2" s="1"/>
  <c r="J143" i="2" s="1"/>
  <c r="K143" i="2" s="1"/>
  <c r="L143" i="2" s="1"/>
  <c r="M143" i="2" s="1"/>
  <c r="N143" i="2" s="1"/>
  <c r="O143" i="2" s="1"/>
  <c r="P143" i="2" s="1"/>
  <c r="Q143" i="2" s="1"/>
  <c r="R143" i="2" s="1"/>
  <c r="E143" i="2"/>
  <c r="F142" i="2"/>
  <c r="F152" i="2" s="1"/>
  <c r="G142" i="2"/>
  <c r="G152" i="2" s="1"/>
  <c r="H142" i="2"/>
  <c r="H152" i="2" s="1"/>
  <c r="E142" i="2"/>
  <c r="E152" i="2" s="1"/>
  <c r="E138" i="2"/>
  <c r="F136" i="2" s="1"/>
  <c r="F138" i="2"/>
  <c r="G136" i="2" s="1"/>
  <c r="G138" i="2"/>
  <c r="H136" i="2" s="1"/>
  <c r="H138" i="2"/>
  <c r="I136" i="2" s="1"/>
  <c r="D138" i="2"/>
  <c r="E136" i="2" s="1"/>
  <c r="F133" i="2"/>
  <c r="G133" i="2"/>
  <c r="H133" i="2"/>
  <c r="I133" i="2" s="1"/>
  <c r="J133" i="2" s="1"/>
  <c r="K133" i="2" s="1"/>
  <c r="L133" i="2" s="1"/>
  <c r="M133" i="2" s="1"/>
  <c r="N133" i="2" s="1"/>
  <c r="O133" i="2" s="1"/>
  <c r="P133" i="2" s="1"/>
  <c r="Q133" i="2" s="1"/>
  <c r="R133" i="2" s="1"/>
  <c r="E133" i="2"/>
  <c r="E128" i="2"/>
  <c r="F126" i="2" s="1"/>
  <c r="F128" i="2"/>
  <c r="G126" i="2" s="1"/>
  <c r="G128" i="2"/>
  <c r="H126" i="2" s="1"/>
  <c r="H128" i="2"/>
  <c r="I126" i="2" s="1"/>
  <c r="D128" i="2"/>
  <c r="E126" i="2" s="1"/>
  <c r="E123" i="2"/>
  <c r="F123" i="2"/>
  <c r="G123" i="2"/>
  <c r="H123" i="2"/>
  <c r="I123" i="2" s="1"/>
  <c r="J123" i="2" s="1"/>
  <c r="K123" i="2" s="1"/>
  <c r="L123" i="2" s="1"/>
  <c r="M123" i="2" s="1"/>
  <c r="N123" i="2" s="1"/>
  <c r="O123" i="2" s="1"/>
  <c r="P123" i="2" s="1"/>
  <c r="Q123" i="2" s="1"/>
  <c r="R123" i="2" s="1"/>
  <c r="E118" i="2"/>
  <c r="F118" i="2"/>
  <c r="G116" i="2" s="1"/>
  <c r="G118" i="2"/>
  <c r="H116" i="2" s="1"/>
  <c r="H118" i="2"/>
  <c r="I116" i="2" s="1"/>
  <c r="D118" i="2"/>
  <c r="E116" i="2" s="1"/>
  <c r="E252" i="2"/>
  <c r="F252" i="2" s="1"/>
  <c r="G252" i="2" s="1"/>
  <c r="H252" i="2" s="1"/>
  <c r="I252" i="2" s="1"/>
  <c r="J252" i="2" s="1"/>
  <c r="K252" i="2" s="1"/>
  <c r="L252" i="2" s="1"/>
  <c r="M252" i="2" s="1"/>
  <c r="N252" i="2" s="1"/>
  <c r="O252" i="2" s="1"/>
  <c r="P252" i="2" s="1"/>
  <c r="Q252" i="2" s="1"/>
  <c r="R252" i="2" s="1"/>
  <c r="E225" i="2"/>
  <c r="F225" i="2" s="1"/>
  <c r="G225" i="2" s="1"/>
  <c r="H225" i="2" s="1"/>
  <c r="I225" i="2" s="1"/>
  <c r="J225" i="2" s="1"/>
  <c r="K225" i="2" s="1"/>
  <c r="L225" i="2" s="1"/>
  <c r="M225" i="2" s="1"/>
  <c r="N225" i="2" s="1"/>
  <c r="O225" i="2" s="1"/>
  <c r="P225" i="2" s="1"/>
  <c r="Q225" i="2" s="1"/>
  <c r="R225" i="2" s="1"/>
  <c r="E178" i="2"/>
  <c r="F178" i="2" s="1"/>
  <c r="G178" i="2" s="1"/>
  <c r="H178" i="2" s="1"/>
  <c r="I178" i="2" s="1"/>
  <c r="J178" i="2" s="1"/>
  <c r="K178" i="2" s="1"/>
  <c r="L178" i="2" s="1"/>
  <c r="M178" i="2" s="1"/>
  <c r="N178" i="2" s="1"/>
  <c r="O178" i="2" s="1"/>
  <c r="P178" i="2" s="1"/>
  <c r="Q178" i="2" s="1"/>
  <c r="R178" i="2" s="1"/>
  <c r="E113" i="2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E81" i="2"/>
  <c r="F81" i="2" s="1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E50" i="2"/>
  <c r="F50" i="2" s="1"/>
  <c r="G50" i="2" s="1"/>
  <c r="H50" i="2" s="1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G44" i="2"/>
  <c r="H44" i="2"/>
  <c r="I81" i="3" s="1"/>
  <c r="E42" i="2"/>
  <c r="F42" i="2"/>
  <c r="G42" i="2"/>
  <c r="H42" i="2"/>
  <c r="I76" i="3" s="1"/>
  <c r="D42" i="2"/>
  <c r="E41" i="2"/>
  <c r="F41" i="2"/>
  <c r="G41" i="2"/>
  <c r="H41" i="2"/>
  <c r="I71" i="3" s="1"/>
  <c r="D41" i="2"/>
  <c r="E40" i="2"/>
  <c r="F40" i="2"/>
  <c r="G40" i="2"/>
  <c r="H40" i="2"/>
  <c r="I66" i="3" s="1"/>
  <c r="D40" i="2"/>
  <c r="D26" i="3"/>
  <c r="G9" i="3"/>
  <c r="H9" i="3"/>
  <c r="F9" i="3"/>
  <c r="I41" i="3" s="1"/>
  <c r="G12" i="3"/>
  <c r="H12" i="3"/>
  <c r="F12" i="3"/>
  <c r="I46" i="3" s="1"/>
  <c r="G15" i="3"/>
  <c r="H15" i="3"/>
  <c r="F15" i="3"/>
  <c r="G18" i="3"/>
  <c r="H18" i="3"/>
  <c r="F18" i="3"/>
  <c r="I56" i="3" s="1"/>
  <c r="F20" i="3"/>
  <c r="G20" i="3"/>
  <c r="G21" i="3" s="1"/>
  <c r="G37" i="2" s="1"/>
  <c r="G172" i="2" s="1"/>
  <c r="H20" i="3"/>
  <c r="H21" i="3" s="1"/>
  <c r="H37" i="2" s="1"/>
  <c r="H172" i="2" s="1"/>
  <c r="E20" i="3"/>
  <c r="E21" i="3" s="1"/>
  <c r="E37" i="2" s="1"/>
  <c r="E172" i="2" s="1"/>
  <c r="E6" i="3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N14" i="6" l="1"/>
  <c r="N18" i="6" s="1"/>
  <c r="F14" i="6" s="1"/>
  <c r="F15" i="6" s="1"/>
  <c r="F17" i="6" s="1"/>
  <c r="F19" i="6" s="1"/>
  <c r="F27" i="6" s="1"/>
  <c r="K5" i="4" s="1"/>
  <c r="T15" i="11"/>
  <c r="T16" i="11"/>
  <c r="T17" i="11"/>
  <c r="T14" i="11"/>
  <c r="AV10" i="7"/>
  <c r="AT10" i="7"/>
  <c r="AH17" i="7"/>
  <c r="AH16" i="7"/>
  <c r="AH15" i="7"/>
  <c r="AH14" i="7"/>
  <c r="AV11" i="7"/>
  <c r="AT11" i="7"/>
  <c r="AV9" i="7"/>
  <c r="AT9" i="7"/>
  <c r="AV12" i="7"/>
  <c r="AT12" i="7"/>
  <c r="AV8" i="7"/>
  <c r="AT8" i="7"/>
  <c r="N15" i="6"/>
  <c r="Q93" i="2"/>
  <c r="R93" i="2"/>
  <c r="P93" i="2"/>
  <c r="O93" i="2"/>
  <c r="J271" i="2"/>
  <c r="N93" i="2"/>
  <c r="M93" i="2"/>
  <c r="L93" i="2"/>
  <c r="J93" i="2"/>
  <c r="K93" i="2"/>
  <c r="I271" i="2"/>
  <c r="I103" i="2"/>
  <c r="I104" i="2" s="1"/>
  <c r="K103" i="2"/>
  <c r="L256" i="2"/>
  <c r="L271" i="2" s="1"/>
  <c r="J103" i="2"/>
  <c r="E182" i="2"/>
  <c r="G182" i="2"/>
  <c r="H182" i="2"/>
  <c r="E127" i="2"/>
  <c r="F180" i="2"/>
  <c r="F182" i="2" s="1"/>
  <c r="E137" i="2"/>
  <c r="F127" i="2"/>
  <c r="H157" i="2"/>
  <c r="G122" i="2"/>
  <c r="G162" i="2"/>
  <c r="G157" i="2"/>
  <c r="F157" i="2"/>
  <c r="E162" i="2"/>
  <c r="H122" i="2"/>
  <c r="H162" i="2"/>
  <c r="F137" i="2"/>
  <c r="G117" i="2"/>
  <c r="E117" i="2"/>
  <c r="H132" i="2"/>
  <c r="F167" i="2"/>
  <c r="E132" i="2"/>
  <c r="G132" i="2"/>
  <c r="E157" i="2"/>
  <c r="E122" i="2"/>
  <c r="F116" i="2"/>
  <c r="F117" i="2" s="1"/>
  <c r="H137" i="2"/>
  <c r="E167" i="2"/>
  <c r="G137" i="2"/>
  <c r="H166" i="2"/>
  <c r="H167" i="2" s="1"/>
  <c r="G166" i="2"/>
  <c r="G167" i="2" s="1"/>
  <c r="H127" i="2"/>
  <c r="G127" i="2"/>
  <c r="H117" i="2"/>
  <c r="E147" i="2"/>
  <c r="G147" i="2"/>
  <c r="H147" i="2"/>
  <c r="F147" i="2"/>
  <c r="I70" i="3"/>
  <c r="I80" i="3"/>
  <c r="I75" i="3"/>
  <c r="I72" i="3"/>
  <c r="I51" i="3"/>
  <c r="I65" i="3"/>
  <c r="I67" i="3"/>
  <c r="I77" i="3"/>
  <c r="I82" i="3"/>
  <c r="I47" i="3"/>
  <c r="I45" i="3"/>
  <c r="I42" i="3"/>
  <c r="J41" i="3"/>
  <c r="I40" i="3"/>
  <c r="I57" i="3"/>
  <c r="I55" i="3"/>
  <c r="J56" i="3"/>
  <c r="I50" i="3"/>
  <c r="I52" i="3"/>
  <c r="J51" i="3"/>
  <c r="J50" i="3" s="1"/>
  <c r="J81" i="3"/>
  <c r="F21" i="3"/>
  <c r="F37" i="2" s="1"/>
  <c r="I26" i="3"/>
  <c r="J26" i="3" s="1"/>
  <c r="K26" i="3" s="1"/>
  <c r="L26" i="3" s="1"/>
  <c r="M26" i="3" s="1"/>
  <c r="N26" i="3" s="1"/>
  <c r="O26" i="3" s="1"/>
  <c r="P26" i="3" s="1"/>
  <c r="Q26" i="3" s="1"/>
  <c r="R26" i="3" s="1"/>
  <c r="AT17" i="7" l="1"/>
  <c r="AT15" i="7"/>
  <c r="AT16" i="7"/>
  <c r="AT14" i="7"/>
  <c r="J46" i="4"/>
  <c r="K46" i="4"/>
  <c r="L46" i="4"/>
  <c r="M46" i="4"/>
  <c r="N46" i="4"/>
  <c r="O46" i="4"/>
  <c r="P46" i="4"/>
  <c r="Q46" i="4"/>
  <c r="R46" i="4"/>
  <c r="S46" i="4"/>
  <c r="H23" i="6"/>
  <c r="H32" i="6"/>
  <c r="J57" i="3"/>
  <c r="K51" i="3"/>
  <c r="J42" i="3"/>
  <c r="J40" i="3"/>
  <c r="L103" i="2"/>
  <c r="M256" i="2"/>
  <c r="M271" i="2" s="1"/>
  <c r="D191" i="2"/>
  <c r="H208" i="2"/>
  <c r="F162" i="2"/>
  <c r="F172" i="2"/>
  <c r="F122" i="2"/>
  <c r="F132" i="2"/>
  <c r="J67" i="3"/>
  <c r="J65" i="3"/>
  <c r="J70" i="3"/>
  <c r="J72" i="3"/>
  <c r="J55" i="3"/>
  <c r="K41" i="3"/>
  <c r="K56" i="3"/>
  <c r="J77" i="3"/>
  <c r="J75" i="3"/>
  <c r="J52" i="3"/>
  <c r="K81" i="3"/>
  <c r="J80" i="3"/>
  <c r="J82" i="3"/>
  <c r="J47" i="3"/>
  <c r="J45" i="3"/>
  <c r="J194" i="2" l="1"/>
  <c r="K194" i="2"/>
  <c r="L194" i="2"/>
  <c r="M194" i="2"/>
  <c r="N194" i="2"/>
  <c r="O194" i="2"/>
  <c r="P194" i="2"/>
  <c r="Q194" i="2"/>
  <c r="R194" i="2"/>
  <c r="I194" i="2"/>
  <c r="L56" i="3"/>
  <c r="K52" i="3"/>
  <c r="K50" i="3"/>
  <c r="L51" i="3"/>
  <c r="L41" i="3"/>
  <c r="L42" i="3" s="1"/>
  <c r="K67" i="3"/>
  <c r="K65" i="3"/>
  <c r="N256" i="2"/>
  <c r="N271" i="2" s="1"/>
  <c r="M103" i="2"/>
  <c r="H210" i="2"/>
  <c r="H209" i="2"/>
  <c r="I209" i="2" s="1"/>
  <c r="J209" i="2" s="1"/>
  <c r="K209" i="2" s="1"/>
  <c r="L209" i="2" s="1"/>
  <c r="M209" i="2" s="1"/>
  <c r="N209" i="2" s="1"/>
  <c r="O209" i="2" s="1"/>
  <c r="P209" i="2" s="1"/>
  <c r="Q209" i="2" s="1"/>
  <c r="R209" i="2" s="1"/>
  <c r="K55" i="3"/>
  <c r="K72" i="3"/>
  <c r="K70" i="3"/>
  <c r="K47" i="3"/>
  <c r="K45" i="3"/>
  <c r="K42" i="3"/>
  <c r="L81" i="3"/>
  <c r="K82" i="3"/>
  <c r="K80" i="3"/>
  <c r="K40" i="3"/>
  <c r="K77" i="3"/>
  <c r="K75" i="3"/>
  <c r="K57" i="3"/>
  <c r="L57" i="3"/>
  <c r="L55" i="3"/>
  <c r="L40" i="3" l="1"/>
  <c r="M56" i="3"/>
  <c r="M55" i="3" s="1"/>
  <c r="L52" i="3"/>
  <c r="M51" i="3"/>
  <c r="L50" i="3"/>
  <c r="M41" i="3"/>
  <c r="M40" i="3" s="1"/>
  <c r="L67" i="3"/>
  <c r="L65" i="3"/>
  <c r="O256" i="2"/>
  <c r="O271" i="2" s="1"/>
  <c r="N103" i="2"/>
  <c r="L70" i="3"/>
  <c r="L72" i="3"/>
  <c r="L77" i="3"/>
  <c r="L75" i="3"/>
  <c r="M81" i="3"/>
  <c r="L80" i="3"/>
  <c r="L82" i="3"/>
  <c r="L45" i="3"/>
  <c r="L47" i="3"/>
  <c r="M42" i="3"/>
  <c r="M57" i="3" l="1"/>
  <c r="N56" i="3"/>
  <c r="N51" i="3"/>
  <c r="M50" i="3"/>
  <c r="M52" i="3"/>
  <c r="N41" i="3"/>
  <c r="M67" i="3"/>
  <c r="M65" i="3"/>
  <c r="P256" i="2"/>
  <c r="P271" i="2" s="1"/>
  <c r="O103" i="2"/>
  <c r="M72" i="3"/>
  <c r="M70" i="3"/>
  <c r="M45" i="3"/>
  <c r="M47" i="3"/>
  <c r="M80" i="3"/>
  <c r="M82" i="3"/>
  <c r="N81" i="3"/>
  <c r="M77" i="3"/>
  <c r="M75" i="3"/>
  <c r="N65" i="3" l="1"/>
  <c r="N67" i="3"/>
  <c r="N57" i="3"/>
  <c r="O56" i="3"/>
  <c r="N55" i="3"/>
  <c r="N52" i="3"/>
  <c r="O51" i="3"/>
  <c r="N50" i="3"/>
  <c r="N40" i="3"/>
  <c r="O41" i="3"/>
  <c r="N42" i="3"/>
  <c r="P103" i="2"/>
  <c r="Q256" i="2"/>
  <c r="Q271" i="2" s="1"/>
  <c r="N72" i="3"/>
  <c r="N70" i="3"/>
  <c r="N75" i="3"/>
  <c r="N77" i="3"/>
  <c r="N45" i="3"/>
  <c r="N47" i="3"/>
  <c r="O81" i="3"/>
  <c r="N82" i="3"/>
  <c r="N80" i="3"/>
  <c r="O67" i="3" l="1"/>
  <c r="O65" i="3"/>
  <c r="O55" i="3"/>
  <c r="O57" i="3"/>
  <c r="P56" i="3"/>
  <c r="O52" i="3"/>
  <c r="O50" i="3"/>
  <c r="P51" i="3"/>
  <c r="O42" i="3"/>
  <c r="P41" i="3"/>
  <c r="O40" i="3"/>
  <c r="Q103" i="2"/>
  <c r="R256" i="2"/>
  <c r="O72" i="3"/>
  <c r="O70" i="3"/>
  <c r="O82" i="3"/>
  <c r="P81" i="3"/>
  <c r="O80" i="3"/>
  <c r="O45" i="3"/>
  <c r="O47" i="3"/>
  <c r="O77" i="3"/>
  <c r="O75" i="3"/>
  <c r="Q67" i="3" l="1"/>
  <c r="P65" i="3"/>
  <c r="R103" i="2"/>
  <c r="R271" i="2"/>
  <c r="P67" i="3"/>
  <c r="Q56" i="3"/>
  <c r="P55" i="3"/>
  <c r="P57" i="3"/>
  <c r="Q51" i="3"/>
  <c r="P52" i="3"/>
  <c r="P50" i="3"/>
  <c r="Q41" i="3"/>
  <c r="P40" i="3"/>
  <c r="P42" i="3"/>
  <c r="P72" i="3"/>
  <c r="P70" i="3"/>
  <c r="P77" i="3"/>
  <c r="P75" i="3"/>
  <c r="P82" i="3"/>
  <c r="P80" i="3"/>
  <c r="Q81" i="3"/>
  <c r="P45" i="3"/>
  <c r="P47" i="3"/>
  <c r="Q65" i="3" l="1"/>
  <c r="R67" i="3"/>
  <c r="Q55" i="3"/>
  <c r="R56" i="3"/>
  <c r="Q57" i="3"/>
  <c r="Q50" i="3"/>
  <c r="Q52" i="3"/>
  <c r="R51" i="3"/>
  <c r="Q40" i="3"/>
  <c r="R41" i="3"/>
  <c r="Q42" i="3"/>
  <c r="Q72" i="3"/>
  <c r="Q70" i="3"/>
  <c r="Q47" i="3"/>
  <c r="Q45" i="3"/>
  <c r="R81" i="3"/>
  <c r="Q82" i="3"/>
  <c r="Q80" i="3"/>
  <c r="Q77" i="3"/>
  <c r="Q75" i="3"/>
  <c r="R65" i="3" l="1"/>
  <c r="R55" i="3"/>
  <c r="R57" i="3"/>
  <c r="R50" i="3"/>
  <c r="R52" i="3"/>
  <c r="R40" i="3"/>
  <c r="R42" i="3"/>
  <c r="R70" i="3"/>
  <c r="R72" i="3"/>
  <c r="R77" i="3"/>
  <c r="R75" i="3"/>
  <c r="R82" i="3"/>
  <c r="R80" i="3"/>
  <c r="R47" i="3"/>
  <c r="R45" i="3"/>
  <c r="H72" i="2" l="1"/>
  <c r="H74" i="2" s="1"/>
  <c r="G72" i="2"/>
  <c r="G74" i="2" s="1"/>
  <c r="F72" i="2"/>
  <c r="F74" i="2" s="1"/>
  <c r="F21" i="2"/>
  <c r="F44" i="2" s="1"/>
  <c r="E21" i="2"/>
  <c r="E44" i="2" s="1"/>
  <c r="D21" i="2"/>
  <c r="D44" i="2" s="1"/>
  <c r="G15" i="2"/>
  <c r="H15" i="2"/>
  <c r="E72" i="2"/>
  <c r="E74" i="2" s="1"/>
  <c r="D72" i="2"/>
  <c r="D74" i="2" s="1"/>
  <c r="D15" i="2"/>
  <c r="E15" i="2"/>
  <c r="F15" i="2"/>
  <c r="E19" i="2" l="1"/>
  <c r="E22" i="2" s="1"/>
  <c r="E38" i="2"/>
  <c r="H19" i="2"/>
  <c r="H22" i="2" s="1"/>
  <c r="H38" i="2"/>
  <c r="I61" i="3" s="1"/>
  <c r="F19" i="2"/>
  <c r="F32" i="2" s="1"/>
  <c r="F34" i="2" s="1"/>
  <c r="F38" i="2"/>
  <c r="G19" i="2"/>
  <c r="G32" i="2" s="1"/>
  <c r="G34" i="2" s="1"/>
  <c r="G38" i="2"/>
  <c r="D19" i="2"/>
  <c r="D22" i="2" s="1"/>
  <c r="D38" i="2"/>
  <c r="E76" i="2"/>
  <c r="F76" i="2"/>
  <c r="G76" i="2"/>
  <c r="H76" i="2"/>
  <c r="D76" i="2"/>
  <c r="E11" i="2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G22" i="2" l="1"/>
  <c r="G24" i="2" s="1"/>
  <c r="G26" i="2" s="1"/>
  <c r="D32" i="2"/>
  <c r="D34" i="2" s="1"/>
  <c r="E32" i="2"/>
  <c r="E34" i="2" s="1"/>
  <c r="H32" i="2"/>
  <c r="H34" i="2" s="1"/>
  <c r="E24" i="2"/>
  <c r="E26" i="2" s="1"/>
  <c r="D24" i="2"/>
  <c r="D26" i="2" s="1"/>
  <c r="H24" i="2"/>
  <c r="H26" i="2" s="1"/>
  <c r="F22" i="2"/>
  <c r="H255" i="2" l="1"/>
  <c r="H264" i="2"/>
  <c r="D255" i="2"/>
  <c r="D264" i="2"/>
  <c r="E255" i="2"/>
  <c r="E264" i="2"/>
  <c r="G255" i="2"/>
  <c r="G264" i="2"/>
  <c r="F24" i="2"/>
  <c r="F26" i="2" s="1"/>
  <c r="I62" i="3"/>
  <c r="I60" i="3"/>
  <c r="J61" i="3"/>
  <c r="H266" i="2" l="1"/>
  <c r="H269" i="2"/>
  <c r="F255" i="2"/>
  <c r="F264" i="2"/>
  <c r="G266" i="2"/>
  <c r="G269" i="2"/>
  <c r="E266" i="2"/>
  <c r="E269" i="2"/>
  <c r="D269" i="2"/>
  <c r="J62" i="3"/>
  <c r="J60" i="3"/>
  <c r="K61" i="3"/>
  <c r="F266" i="2" l="1"/>
  <c r="F269" i="2"/>
  <c r="L61" i="3"/>
  <c r="K62" i="3"/>
  <c r="K60" i="3"/>
  <c r="M61" i="3" l="1"/>
  <c r="L62" i="3"/>
  <c r="L60" i="3"/>
  <c r="N61" i="3" l="1"/>
  <c r="M60" i="3"/>
  <c r="M62" i="3"/>
  <c r="N62" i="3" l="1"/>
  <c r="N60" i="3"/>
  <c r="O61" i="3"/>
  <c r="O60" i="3" l="1"/>
  <c r="O62" i="3"/>
  <c r="P61" i="3"/>
  <c r="Q61" i="3" l="1"/>
  <c r="P60" i="3"/>
  <c r="P62" i="3"/>
  <c r="Q62" i="3" l="1"/>
  <c r="Q60" i="3"/>
  <c r="R61" i="3"/>
  <c r="R62" i="3" l="1"/>
  <c r="R60" i="3"/>
  <c r="H28" i="3" l="1"/>
  <c r="I28" i="3"/>
  <c r="I9" i="3" s="1"/>
  <c r="I8" i="3" s="1"/>
  <c r="J28" i="3"/>
  <c r="J9" i="3" s="1"/>
  <c r="K28" i="3"/>
  <c r="K9" i="3" s="1"/>
  <c r="L28" i="3"/>
  <c r="L9" i="3" s="1"/>
  <c r="M28" i="3"/>
  <c r="M9" i="3" s="1"/>
  <c r="N28" i="3"/>
  <c r="N9" i="3" s="1"/>
  <c r="O28" i="3"/>
  <c r="O9" i="3" s="1"/>
  <c r="P28" i="3"/>
  <c r="P9" i="3" s="1"/>
  <c r="Q28" i="3"/>
  <c r="Q9" i="3" s="1"/>
  <c r="R28" i="3"/>
  <c r="R9" i="3" s="1"/>
  <c r="H29" i="3"/>
  <c r="I29" i="3"/>
  <c r="I12" i="3" s="1"/>
  <c r="I11" i="3" s="1"/>
  <c r="J29" i="3"/>
  <c r="J12" i="3" s="1"/>
  <c r="K29" i="3"/>
  <c r="K12" i="3" s="1"/>
  <c r="L29" i="3"/>
  <c r="L12" i="3" s="1"/>
  <c r="M29" i="3"/>
  <c r="M12" i="3" s="1"/>
  <c r="N29" i="3"/>
  <c r="N12" i="3" s="1"/>
  <c r="O29" i="3"/>
  <c r="O12" i="3" s="1"/>
  <c r="P29" i="3"/>
  <c r="P12" i="3" s="1"/>
  <c r="Q29" i="3"/>
  <c r="Q12" i="3" s="1"/>
  <c r="R29" i="3"/>
  <c r="R12" i="3" s="1"/>
  <c r="H30" i="3"/>
  <c r="I30" i="3"/>
  <c r="I15" i="3" s="1"/>
  <c r="I14" i="3" s="1"/>
  <c r="J30" i="3"/>
  <c r="J15" i="3" s="1"/>
  <c r="K30" i="3"/>
  <c r="K15" i="3" s="1"/>
  <c r="L30" i="3"/>
  <c r="L15" i="3" s="1"/>
  <c r="M30" i="3"/>
  <c r="M15" i="3" s="1"/>
  <c r="N30" i="3"/>
  <c r="N15" i="3" s="1"/>
  <c r="O30" i="3"/>
  <c r="O15" i="3" s="1"/>
  <c r="P30" i="3"/>
  <c r="P15" i="3" s="1"/>
  <c r="Q30" i="3"/>
  <c r="Q15" i="3" s="1"/>
  <c r="R30" i="3"/>
  <c r="R15" i="3" s="1"/>
  <c r="H31" i="3"/>
  <c r="I31" i="3"/>
  <c r="I18" i="3" s="1"/>
  <c r="I17" i="3" s="1"/>
  <c r="J31" i="3"/>
  <c r="J18" i="3" s="1"/>
  <c r="K31" i="3"/>
  <c r="K18" i="3" s="1"/>
  <c r="L31" i="3"/>
  <c r="L18" i="3" s="1"/>
  <c r="M31" i="3"/>
  <c r="M18" i="3" s="1"/>
  <c r="N31" i="3"/>
  <c r="N18" i="3" s="1"/>
  <c r="O31" i="3"/>
  <c r="O18" i="3" s="1"/>
  <c r="P31" i="3"/>
  <c r="P18" i="3" s="1"/>
  <c r="Q31" i="3"/>
  <c r="Q18" i="3" s="1"/>
  <c r="R31" i="3"/>
  <c r="R18" i="3" s="1"/>
  <c r="H33" i="3"/>
  <c r="I33" i="3"/>
  <c r="I38" i="2" s="1"/>
  <c r="J33" i="3"/>
  <c r="J38" i="2" s="1"/>
  <c r="K33" i="3"/>
  <c r="K38" i="2" s="1"/>
  <c r="L33" i="3"/>
  <c r="L38" i="2" s="1"/>
  <c r="M33" i="3"/>
  <c r="M38" i="2" s="1"/>
  <c r="N33" i="3"/>
  <c r="N38" i="2" s="1"/>
  <c r="O33" i="3"/>
  <c r="O38" i="2" s="1"/>
  <c r="P33" i="3"/>
  <c r="P38" i="2" s="1"/>
  <c r="Q33" i="3"/>
  <c r="Q38" i="2" s="1"/>
  <c r="R33" i="3"/>
  <c r="R38" i="2" s="1"/>
  <c r="H34" i="3"/>
  <c r="I34" i="3"/>
  <c r="I40" i="2" s="1"/>
  <c r="J34" i="3"/>
  <c r="J40" i="2" s="1"/>
  <c r="K34" i="3"/>
  <c r="K40" i="2" s="1"/>
  <c r="L34" i="3"/>
  <c r="L40" i="2" s="1"/>
  <c r="M34" i="3"/>
  <c r="M40" i="2" s="1"/>
  <c r="N34" i="3"/>
  <c r="N40" i="2" s="1"/>
  <c r="O34" i="3"/>
  <c r="O40" i="2" s="1"/>
  <c r="P34" i="3"/>
  <c r="P40" i="2" s="1"/>
  <c r="Q34" i="3"/>
  <c r="Q40" i="2" s="1"/>
  <c r="R34" i="3"/>
  <c r="R40" i="2" s="1"/>
  <c r="H35" i="3"/>
  <c r="I35" i="3"/>
  <c r="I41" i="2" s="1"/>
  <c r="J35" i="3"/>
  <c r="J41" i="2" s="1"/>
  <c r="K35" i="3"/>
  <c r="K41" i="2" s="1"/>
  <c r="L35" i="3"/>
  <c r="L41" i="2" s="1"/>
  <c r="M35" i="3"/>
  <c r="M41" i="2" s="1"/>
  <c r="N35" i="3"/>
  <c r="N41" i="2" s="1"/>
  <c r="O35" i="3"/>
  <c r="O41" i="2" s="1"/>
  <c r="P35" i="3"/>
  <c r="P41" i="2" s="1"/>
  <c r="Q35" i="3"/>
  <c r="Q41" i="2" s="1"/>
  <c r="R35" i="3"/>
  <c r="R41" i="2" s="1"/>
  <c r="H36" i="3"/>
  <c r="I36" i="3"/>
  <c r="I42" i="2" s="1"/>
  <c r="J36" i="3"/>
  <c r="J42" i="2" s="1"/>
  <c r="K36" i="3"/>
  <c r="K42" i="2" s="1"/>
  <c r="L36" i="3"/>
  <c r="L42" i="2" s="1"/>
  <c r="M36" i="3"/>
  <c r="M42" i="2" s="1"/>
  <c r="N36" i="3"/>
  <c r="N42" i="2" s="1"/>
  <c r="O36" i="3"/>
  <c r="O42" i="2" s="1"/>
  <c r="P36" i="3"/>
  <c r="P42" i="2" s="1"/>
  <c r="Q36" i="3"/>
  <c r="Q42" i="2" s="1"/>
  <c r="R36" i="3"/>
  <c r="R42" i="2" s="1"/>
  <c r="H37" i="3"/>
  <c r="I37" i="3"/>
  <c r="I44" i="2" s="1"/>
  <c r="J37" i="3"/>
  <c r="J44" i="2" s="1"/>
  <c r="K37" i="3"/>
  <c r="K44" i="2" s="1"/>
  <c r="L37" i="3"/>
  <c r="L44" i="2" s="1"/>
  <c r="M37" i="3"/>
  <c r="M44" i="2" s="1"/>
  <c r="N37" i="3"/>
  <c r="N44" i="2" s="1"/>
  <c r="O37" i="3"/>
  <c r="O44" i="2" s="1"/>
  <c r="P37" i="3"/>
  <c r="P44" i="2" s="1"/>
  <c r="Q37" i="3"/>
  <c r="Q44" i="2" s="1"/>
  <c r="R37" i="3"/>
  <c r="R44" i="2" s="1"/>
  <c r="J11" i="3" l="1"/>
  <c r="K11" i="3" s="1"/>
  <c r="L11" i="3" s="1"/>
  <c r="M11" i="3" s="1"/>
  <c r="N11" i="3" s="1"/>
  <c r="O11" i="3" s="1"/>
  <c r="P11" i="3" s="1"/>
  <c r="Q11" i="3" s="1"/>
  <c r="R11" i="3" s="1"/>
  <c r="J14" i="3"/>
  <c r="K14" i="3" s="1"/>
  <c r="L14" i="3" s="1"/>
  <c r="M14" i="3" s="1"/>
  <c r="N14" i="3" s="1"/>
  <c r="O14" i="3" s="1"/>
  <c r="P14" i="3" s="1"/>
  <c r="Q14" i="3" s="1"/>
  <c r="R14" i="3" s="1"/>
  <c r="J17" i="3"/>
  <c r="K17" i="3" s="1"/>
  <c r="L17" i="3" s="1"/>
  <c r="M17" i="3" s="1"/>
  <c r="N17" i="3" s="1"/>
  <c r="O17" i="3" s="1"/>
  <c r="P17" i="3" s="1"/>
  <c r="Q17" i="3" s="1"/>
  <c r="R17" i="3" s="1"/>
  <c r="I20" i="3"/>
  <c r="J8" i="3"/>
  <c r="K8" i="3" l="1"/>
  <c r="J20" i="3"/>
  <c r="I21" i="3"/>
  <c r="I37" i="2" s="1"/>
  <c r="I13" i="2"/>
  <c r="I18" i="2" l="1"/>
  <c r="J21" i="4" s="1"/>
  <c r="J15" i="4"/>
  <c r="I15" i="2"/>
  <c r="I208" i="2"/>
  <c r="I229" i="2"/>
  <c r="I16" i="2"/>
  <c r="J19" i="4" s="1"/>
  <c r="I21" i="2"/>
  <c r="I17" i="2"/>
  <c r="J20" i="4" s="1"/>
  <c r="I162" i="2"/>
  <c r="I158" i="2" s="1"/>
  <c r="I122" i="2"/>
  <c r="I118" i="2" s="1"/>
  <c r="I66" i="2"/>
  <c r="I33" i="2"/>
  <c r="I57" i="2"/>
  <c r="I181" i="2"/>
  <c r="I132" i="2"/>
  <c r="I128" i="2" s="1"/>
  <c r="I172" i="2"/>
  <c r="I168" i="2" s="1"/>
  <c r="J21" i="3"/>
  <c r="J37" i="2" s="1"/>
  <c r="J13" i="2"/>
  <c r="L8" i="3"/>
  <c r="K20" i="3"/>
  <c r="J195" i="2" l="1"/>
  <c r="L195" i="2"/>
  <c r="M195" i="2"/>
  <c r="N195" i="2"/>
  <c r="O195" i="2"/>
  <c r="P195" i="2"/>
  <c r="Q195" i="2"/>
  <c r="R195" i="2"/>
  <c r="K195" i="2"/>
  <c r="I127" i="2"/>
  <c r="J126" i="2"/>
  <c r="I54" i="2"/>
  <c r="I220" i="2"/>
  <c r="J57" i="2"/>
  <c r="J33" i="2"/>
  <c r="I272" i="2"/>
  <c r="I265" i="2" s="1"/>
  <c r="I268" i="2" s="1"/>
  <c r="I69" i="2"/>
  <c r="I85" i="2"/>
  <c r="J66" i="2"/>
  <c r="I96" i="2"/>
  <c r="I157" i="2"/>
  <c r="I62" i="2"/>
  <c r="I91" i="2" s="1"/>
  <c r="J34" i="4" s="1"/>
  <c r="J156" i="2"/>
  <c r="I63" i="2"/>
  <c r="I92" i="2" s="1"/>
  <c r="J35" i="4" s="1"/>
  <c r="I167" i="2"/>
  <c r="J166" i="2"/>
  <c r="I195" i="2"/>
  <c r="I205" i="2" s="1"/>
  <c r="I182" i="2" s="1"/>
  <c r="I210" i="2" s="1"/>
  <c r="J181" i="2"/>
  <c r="I99" i="2"/>
  <c r="I100" i="2" s="1"/>
  <c r="J38" i="4"/>
  <c r="I117" i="2"/>
  <c r="I53" i="2"/>
  <c r="J116" i="2"/>
  <c r="K21" i="3"/>
  <c r="K37" i="2" s="1"/>
  <c r="K13" i="2"/>
  <c r="I218" i="2"/>
  <c r="M8" i="3"/>
  <c r="L20" i="3"/>
  <c r="I19" i="2"/>
  <c r="I14" i="2"/>
  <c r="J16" i="2"/>
  <c r="K19" i="4" s="1"/>
  <c r="J18" i="2"/>
  <c r="K21" i="4" s="1"/>
  <c r="K15" i="4"/>
  <c r="J17" i="2"/>
  <c r="K20" i="4" s="1"/>
  <c r="J15" i="2"/>
  <c r="J208" i="2"/>
  <c r="J229" i="2"/>
  <c r="J21" i="2"/>
  <c r="J122" i="2"/>
  <c r="J118" i="2" s="1"/>
  <c r="J162" i="2"/>
  <c r="J158" i="2" s="1"/>
  <c r="J132" i="2"/>
  <c r="J128" i="2" s="1"/>
  <c r="J172" i="2"/>
  <c r="J168" i="2" s="1"/>
  <c r="K196" i="2" l="1"/>
  <c r="M196" i="2"/>
  <c r="O196" i="2"/>
  <c r="P196" i="2"/>
  <c r="R196" i="2"/>
  <c r="L196" i="2"/>
  <c r="N196" i="2"/>
  <c r="Q196" i="2"/>
  <c r="I183" i="2"/>
  <c r="J180" i="2" s="1"/>
  <c r="J63" i="2"/>
  <c r="J92" i="2" s="1"/>
  <c r="K35" i="4" s="1"/>
  <c r="J167" i="2"/>
  <c r="K166" i="2"/>
  <c r="K126" i="2"/>
  <c r="J127" i="2"/>
  <c r="J54" i="2"/>
  <c r="J88" i="2" s="1"/>
  <c r="K31" i="4" s="1"/>
  <c r="J53" i="2"/>
  <c r="J87" i="2" s="1"/>
  <c r="K30" i="4" s="1"/>
  <c r="K116" i="2"/>
  <c r="J117" i="2"/>
  <c r="K181" i="2"/>
  <c r="J196" i="2"/>
  <c r="J205" i="2" s="1"/>
  <c r="J182" i="2" s="1"/>
  <c r="J210" i="2" s="1"/>
  <c r="J99" i="2"/>
  <c r="J100" i="2" s="1"/>
  <c r="K38" i="4"/>
  <c r="I84" i="2"/>
  <c r="I31" i="2"/>
  <c r="I32" i="2" s="1"/>
  <c r="I34" i="2" s="1"/>
  <c r="J27" i="4"/>
  <c r="I142" i="2"/>
  <c r="J16" i="4"/>
  <c r="J17" i="4" s="1"/>
  <c r="J22" i="4" s="1"/>
  <c r="J272" i="2"/>
  <c r="J85" i="2"/>
  <c r="K33" i="2"/>
  <c r="J218" i="2"/>
  <c r="I87" i="2"/>
  <c r="J30" i="4" s="1"/>
  <c r="I219" i="2"/>
  <c r="I94" i="2" s="1"/>
  <c r="J217" i="2"/>
  <c r="I88" i="2"/>
  <c r="J31" i="4" s="1"/>
  <c r="J157" i="2"/>
  <c r="J62" i="2"/>
  <c r="J91" i="2" s="1"/>
  <c r="K34" i="4" s="1"/>
  <c r="K156" i="2"/>
  <c r="L13" i="2"/>
  <c r="L21" i="3"/>
  <c r="L37" i="2" s="1"/>
  <c r="N8" i="3"/>
  <c r="M20" i="3"/>
  <c r="K66" i="2"/>
  <c r="J96" i="2"/>
  <c r="K16" i="2"/>
  <c r="L19" i="4" s="1"/>
  <c r="L15" i="4"/>
  <c r="K17" i="2"/>
  <c r="L20" i="4" s="1"/>
  <c r="K15" i="2"/>
  <c r="K229" i="2"/>
  <c r="K18" i="2"/>
  <c r="L21" i="4" s="1"/>
  <c r="K21" i="2"/>
  <c r="K208" i="2"/>
  <c r="K122" i="2"/>
  <c r="K118" i="2" s="1"/>
  <c r="K172" i="2"/>
  <c r="K168" i="2" s="1"/>
  <c r="K162" i="2"/>
  <c r="K158" i="2" s="1"/>
  <c r="K132" i="2"/>
  <c r="K128" i="2" s="1"/>
  <c r="J69" i="2"/>
  <c r="J220" i="2"/>
  <c r="K57" i="2"/>
  <c r="J14" i="2"/>
  <c r="J19" i="2"/>
  <c r="L197" i="2" l="1"/>
  <c r="M197" i="2"/>
  <c r="O197" i="2"/>
  <c r="Q197" i="2"/>
  <c r="N197" i="2"/>
  <c r="P197" i="2"/>
  <c r="R197" i="2"/>
  <c r="I55" i="2"/>
  <c r="L126" i="2"/>
  <c r="K127" i="2"/>
  <c r="K54" i="2"/>
  <c r="K88" i="2" s="1"/>
  <c r="L31" i="4" s="1"/>
  <c r="K157" i="2"/>
  <c r="K62" i="2"/>
  <c r="K91" i="2" s="1"/>
  <c r="L34" i="4" s="1"/>
  <c r="L156" i="2"/>
  <c r="K63" i="2"/>
  <c r="K92" i="2" s="1"/>
  <c r="L35" i="4" s="1"/>
  <c r="K167" i="2"/>
  <c r="L166" i="2"/>
  <c r="J84" i="2"/>
  <c r="J31" i="2"/>
  <c r="J32" i="2" s="1"/>
  <c r="J34" i="2" s="1"/>
  <c r="K27" i="4"/>
  <c r="K14" i="2"/>
  <c r="K19" i="2"/>
  <c r="J23" i="4"/>
  <c r="J24" i="4" s="1"/>
  <c r="K217" i="2"/>
  <c r="J219" i="2"/>
  <c r="J94" i="2" s="1"/>
  <c r="M21" i="3"/>
  <c r="M37" i="2" s="1"/>
  <c r="M13" i="2"/>
  <c r="J183" i="2"/>
  <c r="L33" i="2"/>
  <c r="K85" i="2"/>
  <c r="K272" i="2"/>
  <c r="K96" i="2"/>
  <c r="L66" i="2"/>
  <c r="K69" i="2"/>
  <c r="O8" i="3"/>
  <c r="N20" i="3"/>
  <c r="L172" i="2"/>
  <c r="L168" i="2" s="1"/>
  <c r="L162" i="2"/>
  <c r="L158" i="2" s="1"/>
  <c r="L132" i="2"/>
  <c r="L128" i="2" s="1"/>
  <c r="L122" i="2"/>
  <c r="L118" i="2" s="1"/>
  <c r="L17" i="2"/>
  <c r="M20" i="4" s="1"/>
  <c r="L18" i="2"/>
  <c r="M21" i="4" s="1"/>
  <c r="M15" i="4"/>
  <c r="L16" i="2"/>
  <c r="M19" i="4" s="1"/>
  <c r="L229" i="2"/>
  <c r="L15" i="2"/>
  <c r="L21" i="2"/>
  <c r="L208" i="2"/>
  <c r="K218" i="2"/>
  <c r="K16" i="4"/>
  <c r="K17" i="4" s="1"/>
  <c r="K22" i="4" s="1"/>
  <c r="J142" i="2"/>
  <c r="J152" i="2" s="1"/>
  <c r="I138" i="2"/>
  <c r="I152" i="2"/>
  <c r="I148" i="2" s="1"/>
  <c r="K220" i="2"/>
  <c r="L57" i="2"/>
  <c r="K53" i="2"/>
  <c r="L116" i="2"/>
  <c r="K117" i="2"/>
  <c r="L38" i="4"/>
  <c r="K99" i="2"/>
  <c r="K100" i="2" s="1"/>
  <c r="L181" i="2"/>
  <c r="K197" i="2"/>
  <c r="K205" i="2" s="1"/>
  <c r="K182" i="2" s="1"/>
  <c r="K210" i="2" s="1"/>
  <c r="M198" i="2" l="1"/>
  <c r="N198" i="2"/>
  <c r="O198" i="2"/>
  <c r="P198" i="2"/>
  <c r="Q198" i="2"/>
  <c r="R198" i="2"/>
  <c r="K84" i="2"/>
  <c r="K31" i="2"/>
  <c r="K32" i="2" s="1"/>
  <c r="K34" i="2" s="1"/>
  <c r="L27" i="4"/>
  <c r="M126" i="2"/>
  <c r="L127" i="2"/>
  <c r="L54" i="2"/>
  <c r="L85" i="2"/>
  <c r="L272" i="2"/>
  <c r="M33" i="2"/>
  <c r="M57" i="2"/>
  <c r="L220" i="2"/>
  <c r="J55" i="2"/>
  <c r="K180" i="2"/>
  <c r="K183" i="2" s="1"/>
  <c r="K219" i="2"/>
  <c r="K94" i="2" s="1"/>
  <c r="L217" i="2"/>
  <c r="M172" i="2"/>
  <c r="M168" i="2" s="1"/>
  <c r="M162" i="2"/>
  <c r="M158" i="2" s="1"/>
  <c r="M132" i="2"/>
  <c r="M128" i="2" s="1"/>
  <c r="M122" i="2"/>
  <c r="M118" i="2" s="1"/>
  <c r="K23" i="4"/>
  <c r="K24" i="4" s="1"/>
  <c r="N21" i="3"/>
  <c r="N37" i="2" s="1"/>
  <c r="N13" i="2"/>
  <c r="L69" i="2"/>
  <c r="K87" i="2"/>
  <c r="L30" i="4" s="1"/>
  <c r="L53" i="2"/>
  <c r="L87" i="2" s="1"/>
  <c r="M30" i="4" s="1"/>
  <c r="L117" i="2"/>
  <c r="M116" i="2"/>
  <c r="M17" i="2"/>
  <c r="N20" i="4" s="1"/>
  <c r="M16" i="2"/>
  <c r="N19" i="4" s="1"/>
  <c r="N15" i="4"/>
  <c r="M229" i="2"/>
  <c r="M18" i="2"/>
  <c r="N21" i="4" s="1"/>
  <c r="M15" i="2"/>
  <c r="M21" i="2"/>
  <c r="M208" i="2"/>
  <c r="L63" i="2"/>
  <c r="L92" i="2" s="1"/>
  <c r="M35" i="4" s="1"/>
  <c r="L167" i="2"/>
  <c r="M166" i="2"/>
  <c r="J148" i="2"/>
  <c r="I61" i="2"/>
  <c r="I90" i="2" s="1"/>
  <c r="J33" i="4" s="1"/>
  <c r="I147" i="2"/>
  <c r="J146" i="2"/>
  <c r="I60" i="2"/>
  <c r="J138" i="2"/>
  <c r="J136" i="2"/>
  <c r="I137" i="2"/>
  <c r="L157" i="2"/>
  <c r="L62" i="2"/>
  <c r="L91" i="2" s="1"/>
  <c r="M34" i="4" s="1"/>
  <c r="M156" i="2"/>
  <c r="M38" i="4"/>
  <c r="L99" i="2"/>
  <c r="L100" i="2" s="1"/>
  <c r="M181" i="2"/>
  <c r="L198" i="2"/>
  <c r="L205" i="2" s="1"/>
  <c r="L182" i="2" s="1"/>
  <c r="L210" i="2" s="1"/>
  <c r="P8" i="3"/>
  <c r="O20" i="3"/>
  <c r="L16" i="4"/>
  <c r="L17" i="4" s="1"/>
  <c r="L22" i="4" s="1"/>
  <c r="K142" i="2"/>
  <c r="K152" i="2" s="1"/>
  <c r="L218" i="2"/>
  <c r="L96" i="2"/>
  <c r="M66" i="2"/>
  <c r="L14" i="2"/>
  <c r="L19" i="2"/>
  <c r="N199" i="2" l="1"/>
  <c r="O199" i="2"/>
  <c r="Q199" i="2"/>
  <c r="R199" i="2"/>
  <c r="P199" i="2"/>
  <c r="M157" i="2"/>
  <c r="N156" i="2"/>
  <c r="M62" i="2"/>
  <c r="M91" i="2" s="1"/>
  <c r="N34" i="4" s="1"/>
  <c r="M27" i="4"/>
  <c r="L31" i="2"/>
  <c r="L32" i="2" s="1"/>
  <c r="L34" i="2" s="1"/>
  <c r="L84" i="2"/>
  <c r="M117" i="2"/>
  <c r="M53" i="2"/>
  <c r="M87" i="2" s="1"/>
  <c r="N30" i="4" s="1"/>
  <c r="N116" i="2"/>
  <c r="N126" i="2"/>
  <c r="M127" i="2"/>
  <c r="M54" i="2"/>
  <c r="M88" i="2" s="1"/>
  <c r="N31" i="4" s="1"/>
  <c r="N166" i="2"/>
  <c r="M167" i="2"/>
  <c r="M63" i="2"/>
  <c r="M92" i="2" s="1"/>
  <c r="N35" i="4" s="1"/>
  <c r="M85" i="2"/>
  <c r="M272" i="2"/>
  <c r="N33" i="2"/>
  <c r="I89" i="2"/>
  <c r="J32" i="4" s="1"/>
  <c r="J39" i="4" s="1"/>
  <c r="J45" i="4" s="1"/>
  <c r="J47" i="4" s="1"/>
  <c r="I67" i="2"/>
  <c r="J61" i="2"/>
  <c r="J90" i="2" s="1"/>
  <c r="K33" i="4" s="1"/>
  <c r="J147" i="2"/>
  <c r="K146" i="2"/>
  <c r="K148" i="2"/>
  <c r="M96" i="2"/>
  <c r="N66" i="2"/>
  <c r="K55" i="2"/>
  <c r="L180" i="2"/>
  <c r="L183" i="2" s="1"/>
  <c r="O21" i="3"/>
  <c r="O37" i="2" s="1"/>
  <c r="O13" i="2"/>
  <c r="P20" i="3"/>
  <c r="Q8" i="3"/>
  <c r="N132" i="2"/>
  <c r="N128" i="2" s="1"/>
  <c r="N172" i="2"/>
  <c r="N168" i="2" s="1"/>
  <c r="N162" i="2"/>
  <c r="N158" i="2" s="1"/>
  <c r="N122" i="2"/>
  <c r="N118" i="2" s="1"/>
  <c r="M69" i="2"/>
  <c r="M217" i="2"/>
  <c r="L219" i="2"/>
  <c r="L94" i="2" s="1"/>
  <c r="N17" i="2"/>
  <c r="O20" i="4" s="1"/>
  <c r="N229" i="2"/>
  <c r="O15" i="4"/>
  <c r="N15" i="2"/>
  <c r="N16" i="2"/>
  <c r="O19" i="4" s="1"/>
  <c r="N18" i="2"/>
  <c r="O21" i="4" s="1"/>
  <c r="N208" i="2"/>
  <c r="N21" i="2"/>
  <c r="J60" i="2"/>
  <c r="K138" i="2"/>
  <c r="K136" i="2"/>
  <c r="J137" i="2"/>
  <c r="N38" i="4"/>
  <c r="M99" i="2"/>
  <c r="M100" i="2" s="1"/>
  <c r="N181" i="2"/>
  <c r="M199" i="2"/>
  <c r="M205" i="2" s="1"/>
  <c r="M182" i="2" s="1"/>
  <c r="M210" i="2" s="1"/>
  <c r="M16" i="4"/>
  <c r="M17" i="4" s="1"/>
  <c r="M22" i="4" s="1"/>
  <c r="L142" i="2"/>
  <c r="L152" i="2" s="1"/>
  <c r="L88" i="2"/>
  <c r="M31" i="4" s="1"/>
  <c r="M218" i="2"/>
  <c r="L23" i="4"/>
  <c r="L24" i="4" s="1"/>
  <c r="M19" i="2"/>
  <c r="M14" i="2"/>
  <c r="N57" i="2"/>
  <c r="M220" i="2"/>
  <c r="O200" i="2" l="1"/>
  <c r="P200" i="2"/>
  <c r="Q200" i="2"/>
  <c r="R200" i="2"/>
  <c r="N53" i="2"/>
  <c r="N87" i="2" s="1"/>
  <c r="O30" i="4" s="1"/>
  <c r="N117" i="2"/>
  <c r="O116" i="2"/>
  <c r="N157" i="2"/>
  <c r="N62" i="2"/>
  <c r="N91" i="2" s="1"/>
  <c r="O34" i="4" s="1"/>
  <c r="O156" i="2"/>
  <c r="O166" i="2"/>
  <c r="N167" i="2"/>
  <c r="N63" i="2"/>
  <c r="N92" i="2" s="1"/>
  <c r="O35" i="4" s="1"/>
  <c r="J67" i="2"/>
  <c r="J89" i="2"/>
  <c r="K32" i="4" s="1"/>
  <c r="K39" i="4" s="1"/>
  <c r="K45" i="4" s="1"/>
  <c r="K47" i="4" s="1"/>
  <c r="M23" i="4"/>
  <c r="M24" i="4" s="1"/>
  <c r="P21" i="3"/>
  <c r="P37" i="2" s="1"/>
  <c r="P13" i="2"/>
  <c r="O162" i="2"/>
  <c r="O158" i="2" s="1"/>
  <c r="O172" i="2"/>
  <c r="O168" i="2" s="1"/>
  <c r="O132" i="2"/>
  <c r="O128" i="2" s="1"/>
  <c r="O122" i="2"/>
  <c r="O118" i="2" s="1"/>
  <c r="N27" i="4"/>
  <c r="M31" i="2"/>
  <c r="M32" i="2" s="1"/>
  <c r="M34" i="2" s="1"/>
  <c r="M84" i="2"/>
  <c r="K137" i="2"/>
  <c r="L136" i="2"/>
  <c r="L138" i="2"/>
  <c r="K60" i="2"/>
  <c r="N218" i="2"/>
  <c r="Q20" i="3"/>
  <c r="R8" i="3"/>
  <c r="R20" i="3" s="1"/>
  <c r="N14" i="2"/>
  <c r="N19" i="2"/>
  <c r="O229" i="2"/>
  <c r="O17" i="2"/>
  <c r="P20" i="4" s="1"/>
  <c r="O21" i="2"/>
  <c r="O15" i="2"/>
  <c r="O16" i="2"/>
  <c r="P19" i="4" s="1"/>
  <c r="P15" i="4"/>
  <c r="O18" i="2"/>
  <c r="P21" i="4" s="1"/>
  <c r="O208" i="2"/>
  <c r="O33" i="2"/>
  <c r="N272" i="2"/>
  <c r="N85" i="2"/>
  <c r="N217" i="2"/>
  <c r="M219" i="2"/>
  <c r="M94" i="2" s="1"/>
  <c r="L55" i="2"/>
  <c r="M180" i="2"/>
  <c r="M183" i="2" s="1"/>
  <c r="N16" i="4"/>
  <c r="N17" i="4" s="1"/>
  <c r="N22" i="4" s="1"/>
  <c r="M142" i="2"/>
  <c r="M152" i="2" s="1"/>
  <c r="O66" i="2"/>
  <c r="N96" i="2"/>
  <c r="K61" i="2"/>
  <c r="K90" i="2" s="1"/>
  <c r="L33" i="4" s="1"/>
  <c r="L146" i="2"/>
  <c r="K147" i="2"/>
  <c r="L148" i="2"/>
  <c r="N54" i="2"/>
  <c r="N88" i="2" s="1"/>
  <c r="O31" i="4" s="1"/>
  <c r="O126" i="2"/>
  <c r="N127" i="2"/>
  <c r="O57" i="2"/>
  <c r="N220" i="2"/>
  <c r="O38" i="4"/>
  <c r="O181" i="2"/>
  <c r="N200" i="2"/>
  <c r="N205" i="2" s="1"/>
  <c r="N182" i="2" s="1"/>
  <c r="N210" i="2" s="1"/>
  <c r="N99" i="2"/>
  <c r="N100" i="2" s="1"/>
  <c r="N69" i="2"/>
  <c r="P201" i="2" l="1"/>
  <c r="Q201" i="2"/>
  <c r="R201" i="2"/>
  <c r="O117" i="2"/>
  <c r="O53" i="2"/>
  <c r="P116" i="2"/>
  <c r="O54" i="2"/>
  <c r="O88" i="2" s="1"/>
  <c r="P31" i="4" s="1"/>
  <c r="O127" i="2"/>
  <c r="P126" i="2"/>
  <c r="P38" i="4"/>
  <c r="O99" i="2"/>
  <c r="O100" i="2" s="1"/>
  <c r="P181" i="2"/>
  <c r="O201" i="2"/>
  <c r="O205" i="2" s="1"/>
  <c r="O182" i="2" s="1"/>
  <c r="O210" i="2" s="1"/>
  <c r="O220" i="2"/>
  <c r="P57" i="2"/>
  <c r="N23" i="4"/>
  <c r="N24" i="4" s="1"/>
  <c r="P33" i="2"/>
  <c r="O272" i="2"/>
  <c r="O85" i="2"/>
  <c r="L60" i="2"/>
  <c r="M136" i="2"/>
  <c r="M138" i="2"/>
  <c r="L137" i="2"/>
  <c r="O218" i="2"/>
  <c r="P166" i="2"/>
  <c r="O167" i="2"/>
  <c r="O63" i="2"/>
  <c r="O92" i="2" s="1"/>
  <c r="P35" i="4" s="1"/>
  <c r="O217" i="2"/>
  <c r="N219" i="2"/>
  <c r="N94" i="2" s="1"/>
  <c r="P66" i="2"/>
  <c r="O96" i="2"/>
  <c r="M55" i="2"/>
  <c r="N180" i="2"/>
  <c r="N183" i="2" s="1"/>
  <c r="R13" i="2"/>
  <c r="R21" i="3"/>
  <c r="R37" i="2" s="1"/>
  <c r="O69" i="2"/>
  <c r="N31" i="2"/>
  <c r="N32" i="2" s="1"/>
  <c r="N34" i="2" s="1"/>
  <c r="O27" i="4"/>
  <c r="N84" i="2"/>
  <c r="M146" i="2"/>
  <c r="L61" i="2"/>
  <c r="L90" i="2" s="1"/>
  <c r="M33" i="4" s="1"/>
  <c r="L147" i="2"/>
  <c r="M148" i="2"/>
  <c r="K67" i="2"/>
  <c r="K89" i="2"/>
  <c r="L32" i="4" s="1"/>
  <c r="L39" i="4" s="1"/>
  <c r="L45" i="4" s="1"/>
  <c r="L47" i="4" s="1"/>
  <c r="O19" i="2"/>
  <c r="O14" i="2"/>
  <c r="P156" i="2"/>
  <c r="O157" i="2"/>
  <c r="O62" i="2"/>
  <c r="O91" i="2" s="1"/>
  <c r="P34" i="4" s="1"/>
  <c r="N142" i="2"/>
  <c r="N152" i="2" s="1"/>
  <c r="O16" i="4"/>
  <c r="O17" i="4" s="1"/>
  <c r="O22" i="4" s="1"/>
  <c r="Q15" i="4"/>
  <c r="P15" i="2"/>
  <c r="P208" i="2"/>
  <c r="P229" i="2"/>
  <c r="P17" i="2"/>
  <c r="Q20" i="4" s="1"/>
  <c r="P18" i="2"/>
  <c r="Q21" i="4" s="1"/>
  <c r="P21" i="2"/>
  <c r="P16" i="2"/>
  <c r="Q19" i="4" s="1"/>
  <c r="P172" i="2"/>
  <c r="P168" i="2" s="1"/>
  <c r="P162" i="2"/>
  <c r="P158" i="2" s="1"/>
  <c r="P132" i="2"/>
  <c r="P128" i="2" s="1"/>
  <c r="P122" i="2"/>
  <c r="P118" i="2" s="1"/>
  <c r="Q21" i="3"/>
  <c r="Q37" i="2" s="1"/>
  <c r="Q13" i="2"/>
  <c r="Q202" i="2" l="1"/>
  <c r="R202" i="2"/>
  <c r="Q126" i="2"/>
  <c r="P54" i="2"/>
  <c r="P88" i="2" s="1"/>
  <c r="Q31" i="4" s="1"/>
  <c r="P127" i="2"/>
  <c r="Q156" i="2"/>
  <c r="P62" i="2"/>
  <c r="P91" i="2" s="1"/>
  <c r="Q34" i="4" s="1"/>
  <c r="P157" i="2"/>
  <c r="Q166" i="2"/>
  <c r="P167" i="2"/>
  <c r="P63" i="2"/>
  <c r="P92" i="2" s="1"/>
  <c r="Q35" i="4" s="1"/>
  <c r="O31" i="2"/>
  <c r="O32" i="2" s="1"/>
  <c r="O34" i="2" s="1"/>
  <c r="P27" i="4"/>
  <c r="O84" i="2"/>
  <c r="P117" i="2"/>
  <c r="P53" i="2"/>
  <c r="P87" i="2" s="1"/>
  <c r="Q30" i="4" s="1"/>
  <c r="Q116" i="2"/>
  <c r="P69" i="2"/>
  <c r="Q38" i="4"/>
  <c r="Q181" i="2"/>
  <c r="R203" i="2" s="1"/>
  <c r="P99" i="2"/>
  <c r="P100" i="2" s="1"/>
  <c r="P202" i="2"/>
  <c r="P205" i="2" s="1"/>
  <c r="P182" i="2" s="1"/>
  <c r="P210" i="2" s="1"/>
  <c r="R18" i="2"/>
  <c r="S21" i="4" s="1"/>
  <c r="R15" i="2"/>
  <c r="R229" i="2"/>
  <c r="R21" i="2"/>
  <c r="S15" i="4"/>
  <c r="R17" i="2"/>
  <c r="S20" i="4" s="1"/>
  <c r="R16" i="2"/>
  <c r="S19" i="4" s="1"/>
  <c r="R208" i="2"/>
  <c r="O142" i="2"/>
  <c r="O152" i="2" s="1"/>
  <c r="P16" i="4"/>
  <c r="P17" i="4" s="1"/>
  <c r="P22" i="4" s="1"/>
  <c r="L67" i="2"/>
  <c r="L89" i="2"/>
  <c r="M32" i="4" s="1"/>
  <c r="M39" i="4" s="1"/>
  <c r="M45" i="4" s="1"/>
  <c r="M47" i="4" s="1"/>
  <c r="R172" i="2"/>
  <c r="R122" i="2"/>
  <c r="R132" i="2"/>
  <c r="R162" i="2"/>
  <c r="N136" i="2"/>
  <c r="N138" i="2"/>
  <c r="M137" i="2"/>
  <c r="M60" i="2"/>
  <c r="N55" i="2"/>
  <c r="O180" i="2"/>
  <c r="O183" i="2" s="1"/>
  <c r="P85" i="2"/>
  <c r="Q33" i="2"/>
  <c r="P272" i="2"/>
  <c r="O23" i="4"/>
  <c r="O24" i="4" s="1"/>
  <c r="Q15" i="2"/>
  <c r="Q21" i="2"/>
  <c r="Q18" i="2"/>
  <c r="R21" i="4" s="1"/>
  <c r="Q229" i="2"/>
  <c r="R15" i="4"/>
  <c r="Q208" i="2"/>
  <c r="Q16" i="2"/>
  <c r="R19" i="4" s="1"/>
  <c r="Q17" i="2"/>
  <c r="R20" i="4" s="1"/>
  <c r="P217" i="2"/>
  <c r="O219" i="2"/>
  <c r="O94" i="2" s="1"/>
  <c r="N146" i="2"/>
  <c r="N148" i="2"/>
  <c r="M61" i="2"/>
  <c r="M90" i="2" s="1"/>
  <c r="N33" i="4" s="1"/>
  <c r="M147" i="2"/>
  <c r="Q66" i="2"/>
  <c r="P96" i="2"/>
  <c r="P218" i="2"/>
  <c r="P19" i="2"/>
  <c r="P14" i="2"/>
  <c r="Q57" i="2"/>
  <c r="P220" i="2"/>
  <c r="Q122" i="2"/>
  <c r="Q118" i="2" s="1"/>
  <c r="Q162" i="2"/>
  <c r="Q158" i="2" s="1"/>
  <c r="Q132" i="2"/>
  <c r="Q128" i="2" s="1"/>
  <c r="Q172" i="2"/>
  <c r="Q168" i="2" s="1"/>
  <c r="O87" i="2"/>
  <c r="P30" i="4" s="1"/>
  <c r="Q62" i="2" l="1"/>
  <c r="Q91" i="2" s="1"/>
  <c r="R34" i="4" s="1"/>
  <c r="R158" i="2"/>
  <c r="R156" i="2"/>
  <c r="Q157" i="2"/>
  <c r="Q54" i="2"/>
  <c r="Q88" i="2" s="1"/>
  <c r="R31" i="4" s="1"/>
  <c r="R126" i="2"/>
  <c r="Q127" i="2"/>
  <c r="R128" i="2"/>
  <c r="Q117" i="2"/>
  <c r="R116" i="2"/>
  <c r="Q53" i="2"/>
  <c r="Q87" i="2" s="1"/>
  <c r="R30" i="4" s="1"/>
  <c r="R118" i="2"/>
  <c r="Q19" i="2"/>
  <c r="Q14" i="2"/>
  <c r="R66" i="2"/>
  <c r="R96" i="2" s="1"/>
  <c r="Q96" i="2"/>
  <c r="N147" i="2"/>
  <c r="N61" i="2"/>
  <c r="N90" i="2" s="1"/>
  <c r="O33" i="4" s="1"/>
  <c r="O146" i="2"/>
  <c r="O148" i="2"/>
  <c r="R33" i="2"/>
  <c r="Q85" i="2"/>
  <c r="Q272" i="2"/>
  <c r="R19" i="2"/>
  <c r="R14" i="2"/>
  <c r="Q63" i="2"/>
  <c r="Q92" i="2" s="1"/>
  <c r="R35" i="4" s="1"/>
  <c r="R168" i="2"/>
  <c r="R166" i="2"/>
  <c r="Q167" i="2"/>
  <c r="R38" i="4"/>
  <c r="R181" i="2"/>
  <c r="Q99" i="2"/>
  <c r="Q100" i="2" s="1"/>
  <c r="Q203" i="2"/>
  <c r="Q205" i="2" s="1"/>
  <c r="Q182" i="2" s="1"/>
  <c r="Q210" i="2" s="1"/>
  <c r="R218" i="2"/>
  <c r="Q220" i="2"/>
  <c r="R57" i="2"/>
  <c r="R220" i="2" s="1"/>
  <c r="Q27" i="4"/>
  <c r="P31" i="2"/>
  <c r="P32" i="2" s="1"/>
  <c r="P34" i="2" s="1"/>
  <c r="P84" i="2"/>
  <c r="P23" i="4"/>
  <c r="P24" i="4" s="1"/>
  <c r="O55" i="2"/>
  <c r="P180" i="2"/>
  <c r="P183" i="2" s="1"/>
  <c r="Q69" i="2"/>
  <c r="P219" i="2"/>
  <c r="P94" i="2" s="1"/>
  <c r="Q217" i="2"/>
  <c r="M67" i="2"/>
  <c r="M89" i="2"/>
  <c r="N32" i="4" s="1"/>
  <c r="N39" i="4" s="1"/>
  <c r="N45" i="4" s="1"/>
  <c r="N47" i="4" s="1"/>
  <c r="O136" i="2"/>
  <c r="O138" i="2"/>
  <c r="N60" i="2"/>
  <c r="N137" i="2"/>
  <c r="P142" i="2"/>
  <c r="P152" i="2" s="1"/>
  <c r="Q16" i="4"/>
  <c r="Q17" i="4" s="1"/>
  <c r="Q22" i="4" s="1"/>
  <c r="Q218" i="2"/>
  <c r="R27" i="4" l="1"/>
  <c r="Q84" i="2"/>
  <c r="Q31" i="2"/>
  <c r="Q32" i="2" s="1"/>
  <c r="Q34" i="2" s="1"/>
  <c r="R63" i="2"/>
  <c r="R92" i="2" s="1"/>
  <c r="S35" i="4" s="1"/>
  <c r="R167" i="2"/>
  <c r="N67" i="2"/>
  <c r="N89" i="2"/>
  <c r="O32" i="4" s="1"/>
  <c r="O39" i="4" s="1"/>
  <c r="O45" i="4" s="1"/>
  <c r="O47" i="4" s="1"/>
  <c r="P136" i="2"/>
  <c r="P138" i="2"/>
  <c r="O60" i="2"/>
  <c r="O137" i="2"/>
  <c r="Q142" i="2"/>
  <c r="Q152" i="2" s="1"/>
  <c r="R16" i="4"/>
  <c r="R17" i="4" s="1"/>
  <c r="R22" i="4" s="1"/>
  <c r="S16" i="4"/>
  <c r="S17" i="4" s="1"/>
  <c r="S22" i="4" s="1"/>
  <c r="R142" i="2"/>
  <c r="R152" i="2" s="1"/>
  <c r="R117" i="2"/>
  <c r="R53" i="2"/>
  <c r="R87" i="2" s="1"/>
  <c r="S30" i="4" s="1"/>
  <c r="R69" i="2"/>
  <c r="P55" i="2"/>
  <c r="Q180" i="2"/>
  <c r="Q183" i="2" s="1"/>
  <c r="O61" i="2"/>
  <c r="O90" i="2" s="1"/>
  <c r="P33" i="4" s="1"/>
  <c r="O147" i="2"/>
  <c r="P146" i="2"/>
  <c r="P148" i="2"/>
  <c r="R62" i="2"/>
  <c r="R91" i="2" s="1"/>
  <c r="S34" i="4" s="1"/>
  <c r="R157" i="2"/>
  <c r="Q219" i="2"/>
  <c r="Q94" i="2" s="1"/>
  <c r="R217" i="2"/>
  <c r="R219" i="2" s="1"/>
  <c r="R94" i="2" s="1"/>
  <c r="R127" i="2"/>
  <c r="R54" i="2"/>
  <c r="R88" i="2" s="1"/>
  <c r="S31" i="4" s="1"/>
  <c r="R85" i="2"/>
  <c r="R272" i="2"/>
  <c r="S38" i="4"/>
  <c r="R99" i="2"/>
  <c r="R100" i="2" s="1"/>
  <c r="R204" i="2"/>
  <c r="R205" i="2" s="1"/>
  <c r="R182" i="2" s="1"/>
  <c r="R210" i="2" s="1"/>
  <c r="Q23" i="4"/>
  <c r="Q24" i="4" s="1"/>
  <c r="S27" i="4" l="1"/>
  <c r="R31" i="2"/>
  <c r="R32" i="2" s="1"/>
  <c r="R84" i="2"/>
  <c r="R180" i="2"/>
  <c r="R183" i="2" s="1"/>
  <c r="R55" i="2" s="1"/>
  <c r="Q55" i="2"/>
  <c r="O67" i="2"/>
  <c r="O89" i="2"/>
  <c r="P32" i="4" s="1"/>
  <c r="P39" i="4" s="1"/>
  <c r="P45" i="4" s="1"/>
  <c r="P47" i="4" s="1"/>
  <c r="Q138" i="2"/>
  <c r="Q136" i="2"/>
  <c r="P60" i="2"/>
  <c r="P137" i="2"/>
  <c r="P61" i="2"/>
  <c r="P90" i="2" s="1"/>
  <c r="Q33" i="4" s="1"/>
  <c r="P147" i="2"/>
  <c r="Q146" i="2"/>
  <c r="Q148" i="2"/>
  <c r="R23" i="4"/>
  <c r="R24" i="4" s="1"/>
  <c r="S23" i="4"/>
  <c r="S24" i="4" s="1"/>
  <c r="D16" i="1" l="1"/>
  <c r="F16" i="1"/>
  <c r="K16" i="1"/>
  <c r="P89" i="2"/>
  <c r="Q32" i="4" s="1"/>
  <c r="Q39" i="4" s="1"/>
  <c r="Q45" i="4" s="1"/>
  <c r="Q47" i="4" s="1"/>
  <c r="P67" i="2"/>
  <c r="R136" i="2"/>
  <c r="R138" i="2"/>
  <c r="Q60" i="2"/>
  <c r="Q137" i="2"/>
  <c r="I51" i="4"/>
  <c r="I53" i="4" s="1"/>
  <c r="I54" i="4" s="1"/>
  <c r="R34" i="2"/>
  <c r="Q61" i="2"/>
  <c r="Q90" i="2" s="1"/>
  <c r="R33" i="4" s="1"/>
  <c r="R146" i="2"/>
  <c r="R148" i="2"/>
  <c r="Q147" i="2"/>
  <c r="E16" i="1" l="1"/>
  <c r="R61" i="2"/>
  <c r="R90" i="2" s="1"/>
  <c r="S33" i="4" s="1"/>
  <c r="R147" i="2"/>
  <c r="R137" i="2"/>
  <c r="R60" i="2"/>
  <c r="Q89" i="2"/>
  <c r="R32" i="4" s="1"/>
  <c r="R39" i="4" s="1"/>
  <c r="R45" i="4" s="1"/>
  <c r="R47" i="4" s="1"/>
  <c r="Q67" i="2"/>
  <c r="R67" i="2" l="1"/>
  <c r="R89" i="2"/>
  <c r="S32" i="4" s="1"/>
  <c r="S39" i="4" s="1"/>
  <c r="D52" i="4" l="1"/>
  <c r="D53" i="4" s="1"/>
  <c r="S45" i="4"/>
  <c r="S47" i="4" l="1"/>
  <c r="I60" i="4"/>
  <c r="D54" i="4"/>
  <c r="D60" i="4"/>
  <c r="D55" i="4" l="1"/>
  <c r="I55" i="4"/>
  <c r="I56" i="4" l="1"/>
  <c r="D56" i="4"/>
  <c r="D65" i="4" l="1"/>
  <c r="D58" i="4"/>
  <c r="D59" i="4"/>
  <c r="E65" i="4"/>
  <c r="I58" i="4"/>
  <c r="I59" i="4"/>
  <c r="J66" i="4" l="1"/>
  <c r="J68" i="4"/>
  <c r="L68" i="4"/>
  <c r="L67" i="4"/>
  <c r="M87" i="4" s="1"/>
  <c r="E67" i="4"/>
  <c r="E69" i="4" s="1"/>
  <c r="L66" i="4"/>
  <c r="J67" i="4"/>
  <c r="I66" i="4"/>
  <c r="I68" i="4"/>
  <c r="K68" i="4"/>
  <c r="K67" i="4"/>
  <c r="M76" i="4" s="1"/>
  <c r="K66" i="4"/>
  <c r="D67" i="4"/>
  <c r="D69" i="4" s="1"/>
  <c r="I67" i="4"/>
  <c r="D87" i="4" l="1"/>
  <c r="K18" i="1"/>
  <c r="D76" i="4"/>
  <c r="K17" i="1"/>
  <c r="K19" i="1" l="1"/>
  <c r="K20" i="1" s="1"/>
  <c r="I20" i="2"/>
  <c r="J20" i="2"/>
  <c r="K20" i="2"/>
  <c r="L20" i="2"/>
  <c r="M20" i="2"/>
  <c r="N20" i="2"/>
  <c r="O20" i="2"/>
  <c r="P20" i="2"/>
  <c r="Q20" i="2"/>
  <c r="R20" i="2"/>
  <c r="I22" i="2"/>
  <c r="J22" i="2"/>
  <c r="K22" i="2"/>
  <c r="L22" i="2"/>
  <c r="M22" i="2"/>
  <c r="N22" i="2"/>
  <c r="O22" i="2"/>
  <c r="P22" i="2"/>
  <c r="Q22" i="2"/>
  <c r="R22" i="2"/>
  <c r="I23" i="2"/>
  <c r="J23" i="2"/>
  <c r="K23" i="2"/>
  <c r="L23" i="2"/>
  <c r="M23" i="2"/>
  <c r="N23" i="2"/>
  <c r="O23" i="2"/>
  <c r="P23" i="2"/>
  <c r="Q23" i="2"/>
  <c r="R23" i="2"/>
  <c r="I24" i="2"/>
  <c r="J24" i="2"/>
  <c r="K24" i="2"/>
  <c r="L24" i="2"/>
  <c r="M24" i="2"/>
  <c r="N24" i="2"/>
  <c r="O24" i="2"/>
  <c r="P24" i="2"/>
  <c r="Q24" i="2"/>
  <c r="R24" i="2"/>
  <c r="I26" i="2"/>
  <c r="J26" i="2"/>
  <c r="K26" i="2"/>
  <c r="L26" i="2"/>
  <c r="M26" i="2"/>
  <c r="N26" i="2"/>
  <c r="O26" i="2"/>
  <c r="P26" i="2"/>
  <c r="Q26" i="2"/>
  <c r="R26" i="2"/>
  <c r="I28" i="2"/>
  <c r="J28" i="2"/>
  <c r="K28" i="2"/>
  <c r="L28" i="2"/>
  <c r="M28" i="2"/>
  <c r="N28" i="2"/>
  <c r="O28" i="2"/>
  <c r="P28" i="2"/>
  <c r="Q28" i="2"/>
  <c r="R28" i="2"/>
  <c r="I29" i="2"/>
  <c r="J29" i="2"/>
  <c r="K29" i="2"/>
  <c r="L29" i="2"/>
  <c r="M29" i="2"/>
  <c r="N29" i="2"/>
  <c r="O29" i="2"/>
  <c r="P29" i="2"/>
  <c r="Q29" i="2"/>
  <c r="R29" i="2"/>
  <c r="I52" i="2"/>
  <c r="J52" i="2"/>
  <c r="K52" i="2"/>
  <c r="L52" i="2"/>
  <c r="M52" i="2"/>
  <c r="N52" i="2"/>
  <c r="O52" i="2"/>
  <c r="P52" i="2"/>
  <c r="Q52" i="2"/>
  <c r="R52" i="2"/>
  <c r="I58" i="2"/>
  <c r="J58" i="2"/>
  <c r="K58" i="2"/>
  <c r="L58" i="2"/>
  <c r="M58" i="2"/>
  <c r="N58" i="2"/>
  <c r="O58" i="2"/>
  <c r="P58" i="2"/>
  <c r="Q58" i="2"/>
  <c r="R58" i="2"/>
  <c r="I71" i="2"/>
  <c r="J71" i="2"/>
  <c r="K71" i="2"/>
  <c r="L71" i="2"/>
  <c r="M71" i="2"/>
  <c r="N71" i="2"/>
  <c r="O71" i="2"/>
  <c r="P71" i="2"/>
  <c r="Q71" i="2"/>
  <c r="R71" i="2"/>
  <c r="I72" i="2"/>
  <c r="J72" i="2"/>
  <c r="K72" i="2"/>
  <c r="L72" i="2"/>
  <c r="M72" i="2"/>
  <c r="N72" i="2"/>
  <c r="O72" i="2"/>
  <c r="P72" i="2"/>
  <c r="Q72" i="2"/>
  <c r="R72" i="2"/>
  <c r="I74" i="2"/>
  <c r="J74" i="2"/>
  <c r="K74" i="2"/>
  <c r="L74" i="2"/>
  <c r="M74" i="2"/>
  <c r="N74" i="2"/>
  <c r="O74" i="2"/>
  <c r="P74" i="2"/>
  <c r="Q74" i="2"/>
  <c r="R74" i="2"/>
  <c r="I76" i="2"/>
  <c r="J76" i="2"/>
  <c r="K76" i="2"/>
  <c r="L76" i="2"/>
  <c r="M76" i="2"/>
  <c r="N76" i="2"/>
  <c r="O76" i="2"/>
  <c r="P76" i="2"/>
  <c r="Q76" i="2"/>
  <c r="R76" i="2"/>
  <c r="I83" i="2"/>
  <c r="J83" i="2"/>
  <c r="K83" i="2"/>
  <c r="L83" i="2"/>
  <c r="M83" i="2"/>
  <c r="N83" i="2"/>
  <c r="O83" i="2"/>
  <c r="P83" i="2"/>
  <c r="Q83" i="2"/>
  <c r="R83" i="2"/>
  <c r="I97" i="2"/>
  <c r="J97" i="2"/>
  <c r="K97" i="2"/>
  <c r="L97" i="2"/>
  <c r="M97" i="2"/>
  <c r="N97" i="2"/>
  <c r="O97" i="2"/>
  <c r="P97" i="2"/>
  <c r="Q97" i="2"/>
  <c r="R97" i="2"/>
  <c r="I106" i="2"/>
  <c r="J106" i="2"/>
  <c r="K106" i="2"/>
  <c r="L106" i="2"/>
  <c r="M106" i="2"/>
  <c r="N106" i="2"/>
  <c r="O106" i="2"/>
  <c r="P106" i="2"/>
  <c r="Q106" i="2"/>
  <c r="R106" i="2"/>
  <c r="J107" i="2"/>
  <c r="K107" i="2"/>
  <c r="L107" i="2"/>
  <c r="M107" i="2"/>
  <c r="N107" i="2"/>
  <c r="O107" i="2"/>
  <c r="P107" i="2"/>
  <c r="Q107" i="2"/>
  <c r="R107" i="2"/>
  <c r="I108" i="2"/>
  <c r="J108" i="2"/>
  <c r="K108" i="2"/>
  <c r="L108" i="2"/>
  <c r="M108" i="2"/>
  <c r="N108" i="2"/>
  <c r="O108" i="2"/>
  <c r="P108" i="2"/>
  <c r="Q108" i="2"/>
  <c r="R108" i="2"/>
  <c r="J227" i="2"/>
  <c r="K227" i="2"/>
  <c r="L227" i="2"/>
  <c r="M227" i="2"/>
  <c r="N227" i="2"/>
  <c r="O227" i="2"/>
  <c r="P227" i="2"/>
  <c r="Q227" i="2"/>
  <c r="R227" i="2"/>
  <c r="I228" i="2"/>
  <c r="J228" i="2"/>
  <c r="K228" i="2"/>
  <c r="L228" i="2"/>
  <c r="M228" i="2"/>
  <c r="N228" i="2"/>
  <c r="O228" i="2"/>
  <c r="P228" i="2"/>
  <c r="Q228" i="2"/>
  <c r="R228" i="2"/>
  <c r="I230" i="2"/>
  <c r="J230" i="2"/>
  <c r="K230" i="2"/>
  <c r="L230" i="2"/>
  <c r="M230" i="2"/>
  <c r="N230" i="2"/>
  <c r="O230" i="2"/>
  <c r="P230" i="2"/>
  <c r="Q230" i="2"/>
  <c r="R230" i="2"/>
  <c r="I247" i="2"/>
  <c r="J247" i="2"/>
  <c r="K247" i="2"/>
  <c r="L247" i="2"/>
  <c r="M247" i="2"/>
  <c r="N247" i="2"/>
  <c r="O247" i="2"/>
  <c r="P247" i="2"/>
  <c r="Q247" i="2"/>
  <c r="R247" i="2"/>
  <c r="J254" i="2"/>
  <c r="K254" i="2"/>
  <c r="L254" i="2"/>
  <c r="M254" i="2"/>
  <c r="N254" i="2"/>
  <c r="O254" i="2"/>
  <c r="P254" i="2"/>
  <c r="Q254" i="2"/>
  <c r="R254" i="2"/>
  <c r="I255" i="2"/>
  <c r="J255" i="2"/>
  <c r="K255" i="2"/>
  <c r="L255" i="2"/>
  <c r="M255" i="2"/>
  <c r="N255" i="2"/>
  <c r="O255" i="2"/>
  <c r="P255" i="2"/>
  <c r="Q255" i="2"/>
  <c r="R255" i="2"/>
  <c r="I257" i="2"/>
  <c r="J257" i="2"/>
  <c r="K257" i="2"/>
  <c r="L257" i="2"/>
  <c r="M257" i="2"/>
  <c r="N257" i="2"/>
  <c r="O257" i="2"/>
  <c r="P257" i="2"/>
  <c r="Q257" i="2"/>
  <c r="R257" i="2"/>
  <c r="I264" i="2"/>
  <c r="J264" i="2"/>
  <c r="K264" i="2"/>
  <c r="L264" i="2"/>
  <c r="M264" i="2"/>
  <c r="N264" i="2"/>
  <c r="O264" i="2"/>
  <c r="P264" i="2"/>
  <c r="Q264" i="2"/>
  <c r="R264" i="2"/>
  <c r="J265" i="2"/>
  <c r="K265" i="2"/>
  <c r="L265" i="2"/>
  <c r="M265" i="2"/>
  <c r="N265" i="2"/>
  <c r="O265" i="2"/>
  <c r="P265" i="2"/>
  <c r="Q265" i="2"/>
  <c r="R265" i="2"/>
  <c r="I266" i="2"/>
  <c r="J266" i="2"/>
  <c r="K266" i="2"/>
  <c r="L266" i="2"/>
  <c r="M266" i="2"/>
  <c r="N266" i="2"/>
  <c r="O266" i="2"/>
  <c r="P266" i="2"/>
  <c r="Q266" i="2"/>
  <c r="R266" i="2"/>
  <c r="J268" i="2"/>
  <c r="K268" i="2"/>
  <c r="L268" i="2"/>
  <c r="M268" i="2"/>
  <c r="N268" i="2"/>
  <c r="O268" i="2"/>
  <c r="P268" i="2"/>
  <c r="Q268" i="2"/>
  <c r="R268" i="2"/>
  <c r="I269" i="2"/>
  <c r="J269" i="2"/>
  <c r="K269" i="2"/>
  <c r="L269" i="2"/>
  <c r="M269" i="2"/>
  <c r="N269" i="2"/>
  <c r="O269" i="2"/>
  <c r="P269" i="2"/>
  <c r="Q269" i="2"/>
  <c r="R269" i="2"/>
  <c r="J273" i="2"/>
  <c r="K273" i="2"/>
  <c r="L273" i="2"/>
  <c r="M273" i="2"/>
  <c r="N273" i="2"/>
  <c r="O273" i="2"/>
  <c r="P273" i="2"/>
  <c r="Q273" i="2"/>
  <c r="R273" i="2"/>
  <c r="J274" i="2"/>
  <c r="K274" i="2"/>
  <c r="L274" i="2"/>
  <c r="M274" i="2"/>
  <c r="N274" i="2"/>
  <c r="O274" i="2"/>
  <c r="P274" i="2"/>
  <c r="Q274" i="2"/>
  <c r="R274" i="2"/>
  <c r="D90" i="3"/>
  <c r="L90" i="3"/>
  <c r="D100" i="3"/>
  <c r="L10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45" authorId="0" shapeId="0" xr:uid="{57CE1AC4-AE25-434D-BFDB-B1161BA07BF1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CapIQ concensus
</t>
        </r>
      </text>
    </comment>
    <comment ref="C181" authorId="0" shapeId="0" xr:uid="{ACECF8DE-9578-40A9-96B9-E418A7E38C8A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Forecasted in line with revenue growth rate</t>
        </r>
      </text>
    </comment>
    <comment ref="F182" authorId="0" shapeId="0" xr:uid="{B4D2E3B9-8BDC-437A-86E5-CF3A56EDC2E3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Assume includes disposals
</t>
        </r>
      </text>
    </comment>
    <comment ref="C229" authorId="0" shapeId="0" xr:uid="{29B84CD2-6E49-4B7A-A33F-525FD2CD17C8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Estimated as 2% of revenue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8" authorId="0" shapeId="0" xr:uid="{5E08872A-1821-4C01-9896-18168EAF50F9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U.S 20-year treasury yield
</t>
        </r>
      </text>
    </comment>
    <comment ref="C9" authorId="0" shapeId="0" xr:uid="{08A9EEA0-EBA0-4590-91FE-D1D8DA2ADB76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NYU Stern's Aswath Damodaran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K6" authorId="0" shapeId="0" xr:uid="{901983AE-C88F-48D1-B3B9-8773C198BE0C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1 = yes, 0 = no</t>
        </r>
      </text>
    </comment>
    <comment ref="I52" authorId="0" shapeId="0" xr:uid="{14065480-0F29-4CA6-B41F-37A192768DCB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Average EV/LTM EBITDA multiple of peer group</t>
        </r>
      </text>
    </comment>
    <comment ref="S53" authorId="0" shapeId="0" xr:uid="{1516E383-D06B-4B11-AE8B-25445DB5D628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Options: 152,202
Weighted average exercise price: $9.98
SARs: 11,271
Weighted average exercise price: $130.00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L41" authorId="0" shapeId="0" xr:uid="{50464053-3553-40DB-814F-1CC3E1C967E9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Not redeemable until Jan 15, 2029</t>
        </r>
      </text>
    </comment>
  </commentList>
</comments>
</file>

<file path=xl/sharedStrings.xml><?xml version="1.0" encoding="utf-8"?>
<sst xmlns="http://schemas.openxmlformats.org/spreadsheetml/2006/main" count="814" uniqueCount="429">
  <si>
    <t>Palantir Technologies</t>
  </si>
  <si>
    <t>Dashboard</t>
  </si>
  <si>
    <t>$ USD thousands unless stated otherwise</t>
  </si>
  <si>
    <t>Ticker</t>
  </si>
  <si>
    <t>Date</t>
  </si>
  <si>
    <t>Share Price</t>
  </si>
  <si>
    <t>GENERAL</t>
  </si>
  <si>
    <t>PLTR</t>
  </si>
  <si>
    <t>VALUATION SUMMARY</t>
  </si>
  <si>
    <t>Valuation Methodology</t>
  </si>
  <si>
    <t>Weighting</t>
  </si>
  <si>
    <t>Comps</t>
  </si>
  <si>
    <t>Average</t>
  </si>
  <si>
    <t>Upside</t>
  </si>
  <si>
    <t>Financial Statement Model</t>
  </si>
  <si>
    <t>$USD Thousand except per share data</t>
  </si>
  <si>
    <t>INCOME STATEMENT</t>
  </si>
  <si>
    <t>Fiscal Year</t>
  </si>
  <si>
    <t>End Date</t>
  </si>
  <si>
    <t>Circ Break 1 = off, 0 = on</t>
  </si>
  <si>
    <t>Latest Fiscal Year End Date</t>
  </si>
  <si>
    <t>Revenue</t>
  </si>
  <si>
    <t>Cost of revenue</t>
  </si>
  <si>
    <t>Gross profit</t>
  </si>
  <si>
    <t>Research and development</t>
  </si>
  <si>
    <t>Sales and marketing</t>
  </si>
  <si>
    <t>General and administrative</t>
  </si>
  <si>
    <t>Operating income (EBIT)</t>
  </si>
  <si>
    <t>Interest income</t>
  </si>
  <si>
    <t>Other income (expense), net</t>
  </si>
  <si>
    <t>Income before provision for income taxes</t>
  </si>
  <si>
    <t>Provision for income taxes</t>
  </si>
  <si>
    <t>Net income</t>
  </si>
  <si>
    <t>x</t>
  </si>
  <si>
    <t>Basic EPS</t>
  </si>
  <si>
    <t>Diluted EPS</t>
  </si>
  <si>
    <t>Depreciation and amortization</t>
  </si>
  <si>
    <t>EBITDA</t>
  </si>
  <si>
    <t>Stock-based compensation</t>
  </si>
  <si>
    <t>Adjusted EBITDA</t>
  </si>
  <si>
    <t>BALANCE SHEET</t>
  </si>
  <si>
    <t>Prepaid expenses and other current assets</t>
  </si>
  <si>
    <t>Accounts receivable, net</t>
  </si>
  <si>
    <t>Property and equipment, net</t>
  </si>
  <si>
    <t>Operating lease ROU assets</t>
  </si>
  <si>
    <t>Other assets</t>
  </si>
  <si>
    <t>Total assets</t>
  </si>
  <si>
    <t>Accounts payable</t>
  </si>
  <si>
    <t>Accrued liabilities</t>
  </si>
  <si>
    <t>Deferred Revenue</t>
  </si>
  <si>
    <t>Customer Deposits</t>
  </si>
  <si>
    <t>Operating lease liabilities</t>
  </si>
  <si>
    <t>Customer deposits</t>
  </si>
  <si>
    <t>Deferred revenue</t>
  </si>
  <si>
    <t>Other non-current liabilities</t>
  </si>
  <si>
    <t>Total liabilities</t>
  </si>
  <si>
    <t>Common stock</t>
  </si>
  <si>
    <t>Accumulated other comprehensive income</t>
  </si>
  <si>
    <t>Retained earnings</t>
  </si>
  <si>
    <t>Total Palantir's equity</t>
  </si>
  <si>
    <t>Noncontrolling interests</t>
  </si>
  <si>
    <t>Total equity</t>
  </si>
  <si>
    <t>Balance check</t>
  </si>
  <si>
    <t>CASH FLOW STATEMENT</t>
  </si>
  <si>
    <t>Cash flows from operating activities</t>
  </si>
  <si>
    <t>Changes in working capital:</t>
  </si>
  <si>
    <t>Capital Expenditures</t>
  </si>
  <si>
    <t>Cash flows from investing activities</t>
  </si>
  <si>
    <t>Debt revolver</t>
  </si>
  <si>
    <t>Share repurchases</t>
  </si>
  <si>
    <t>Cash flows from financing activities</t>
  </si>
  <si>
    <t>Net change in cash</t>
  </si>
  <si>
    <t>Beginning of period cash</t>
  </si>
  <si>
    <t>Ending of period cash</t>
  </si>
  <si>
    <t>Interest expense</t>
  </si>
  <si>
    <t>Less: Net income attributable to noncontrolling interests</t>
  </si>
  <si>
    <t>Net income attributable to common stockholders</t>
  </si>
  <si>
    <t>Growth rates and margins</t>
  </si>
  <si>
    <t>Revenue growth %</t>
  </si>
  <si>
    <t>Gross margin %</t>
  </si>
  <si>
    <t>Sales &amp; marketing % of sales</t>
  </si>
  <si>
    <t>Research &amp; development % of sales</t>
  </si>
  <si>
    <t>General &amp; administrative % of sales</t>
  </si>
  <si>
    <t>Working Capital</t>
  </si>
  <si>
    <t>Depreciation waterfall</t>
  </si>
  <si>
    <t>Retained Earnings</t>
  </si>
  <si>
    <t>Revenue Build</t>
  </si>
  <si>
    <t>U.S Commercial</t>
  </si>
  <si>
    <t>U.S Commercial Growth %</t>
  </si>
  <si>
    <t>International Commercial</t>
  </si>
  <si>
    <t>International Commercial Growth %</t>
  </si>
  <si>
    <t>U.S Government</t>
  </si>
  <si>
    <t>U.S Government Growth %</t>
  </si>
  <si>
    <t>International Government</t>
  </si>
  <si>
    <t>International Government Growth %</t>
  </si>
  <si>
    <t>Total Revenue</t>
  </si>
  <si>
    <t>Total Revenue Growth %</t>
  </si>
  <si>
    <t>Scenario Analysis</t>
  </si>
  <si>
    <t>Active Case:</t>
  </si>
  <si>
    <t>Base</t>
  </si>
  <si>
    <t>Variance From</t>
  </si>
  <si>
    <t>Base Case</t>
  </si>
  <si>
    <t>Other income % of sales</t>
  </si>
  <si>
    <t>Bull</t>
  </si>
  <si>
    <t>Bear</t>
  </si>
  <si>
    <t>NM</t>
  </si>
  <si>
    <t>Step</t>
  </si>
  <si>
    <t>Property and Equipment</t>
  </si>
  <si>
    <t>Debt Schedule</t>
  </si>
  <si>
    <t>Earnings per Share</t>
  </si>
  <si>
    <t>Sensitivity Analysis</t>
  </si>
  <si>
    <t>First year forecast net income sensitivity</t>
  </si>
  <si>
    <t>Increase/Decrease</t>
  </si>
  <si>
    <t>End of period</t>
  </si>
  <si>
    <t>Beginning of period</t>
  </si>
  <si>
    <t>Grow in line with revenue (1)</t>
  </si>
  <si>
    <t>DSO Assumption (2)</t>
  </si>
  <si>
    <t>Prepaid forecasting approach (1=grow with rev, 2=days prepaid)</t>
  </si>
  <si>
    <t>Days Prepaid Assumption (2)</t>
  </si>
  <si>
    <t>Accounts Payable</t>
  </si>
  <si>
    <t>DPO Assumption (2)</t>
  </si>
  <si>
    <t>A/R forecasting approach (1=grow with rev, 2=DSO)</t>
  </si>
  <si>
    <t>A/P forecasting approach (1=grow with cost of sales, 2=DPO)</t>
  </si>
  <si>
    <t>Grow in line with cost of sales (1)</t>
  </si>
  <si>
    <t>Accrued Liabilities</t>
  </si>
  <si>
    <t>Def. Revenue forecasting approach (1=grow with rev, 2=Days deferred)</t>
  </si>
  <si>
    <t>Days deferred Assumption (2)</t>
  </si>
  <si>
    <t>Days accrued Assumption (2)</t>
  </si>
  <si>
    <t>Deposits forecasting approach (1=grow with rev, 2=Days deposits)</t>
  </si>
  <si>
    <t>Days deposited Assumption (2)</t>
  </si>
  <si>
    <t>Acc Liabilities forecasting approach (1=grow with cost of sales, 2=Days accrued)</t>
  </si>
  <si>
    <t>Cash &amp; cash equivalents and marketable securities</t>
  </si>
  <si>
    <t>Plus: Capital Expenditures</t>
  </si>
  <si>
    <t>Less: Depreciation</t>
  </si>
  <si>
    <t>Gross PPE</t>
  </si>
  <si>
    <t>Non-depreciable PPE</t>
  </si>
  <si>
    <t xml:space="preserve">Accumulated Depreciation </t>
  </si>
  <si>
    <t>Net PPE excluding non-depreciable</t>
  </si>
  <si>
    <t xml:space="preserve">Average useful life </t>
  </si>
  <si>
    <t>Depreciation from existing PPE</t>
  </si>
  <si>
    <t>Depreciation from capex purchased in 2026</t>
  </si>
  <si>
    <t>Depreciation from capex purchased in 2027</t>
  </si>
  <si>
    <t>Depreciation from capex purchased in 2028</t>
  </si>
  <si>
    <t>Depreciation from capex purchased in 2029</t>
  </si>
  <si>
    <t>Depreciation from capex purchased in 2030</t>
  </si>
  <si>
    <t>Depreciation from capex purchased in 2031</t>
  </si>
  <si>
    <t>Depreciation from capex purchased in 2032</t>
  </si>
  <si>
    <t>Depreciation from capex purchased in 2033</t>
  </si>
  <si>
    <t>Depreciation from capex purchased in 2034</t>
  </si>
  <si>
    <t>Depreciation from capex purchased in 2035</t>
  </si>
  <si>
    <t>Midyear Adj.</t>
  </si>
  <si>
    <t>Override (for smoothing)</t>
  </si>
  <si>
    <t>Total Depreciation (related to PPE)</t>
  </si>
  <si>
    <t>Imputing Total D&amp;A</t>
  </si>
  <si>
    <t>Depreciation not related to PPE</t>
  </si>
  <si>
    <t>as % of revenue</t>
  </si>
  <si>
    <t>Total Depreciation and Amortization</t>
  </si>
  <si>
    <t>Interest rate on cash</t>
  </si>
  <si>
    <t>Interest rate</t>
  </si>
  <si>
    <t>Plus: Net income</t>
  </si>
  <si>
    <t>Less: Repurchases</t>
  </si>
  <si>
    <t>Effective Tax Rate</t>
  </si>
  <si>
    <t>Basic shares</t>
  </si>
  <si>
    <t>Diluted shares</t>
  </si>
  <si>
    <t>Shares repurchased</t>
  </si>
  <si>
    <t>New shares issued</t>
  </si>
  <si>
    <t>Average share price</t>
  </si>
  <si>
    <t>Cash available to pay down debt</t>
  </si>
  <si>
    <t>Minimum cash balance</t>
  </si>
  <si>
    <t>Short-term debt/Revolver</t>
  </si>
  <si>
    <t>Beginnig of period</t>
  </si>
  <si>
    <t>Draw/(paydown)</t>
  </si>
  <si>
    <t>Discretionary borrowing</t>
  </si>
  <si>
    <t>Long-term debt</t>
  </si>
  <si>
    <t>Share price increase (net income growth %)</t>
  </si>
  <si>
    <t>Shares Outstanding (thousands)</t>
  </si>
  <si>
    <t>Cash flows generated during the period</t>
  </si>
  <si>
    <t>Operating ROU assets</t>
  </si>
  <si>
    <t xml:space="preserve"> </t>
  </si>
  <si>
    <t>Plus: additions</t>
  </si>
  <si>
    <t>Less: depreciation no related to PPE</t>
  </si>
  <si>
    <t>WACC Analysis</t>
  </si>
  <si>
    <t>BETA CALCULATION</t>
  </si>
  <si>
    <t>WACC</t>
  </si>
  <si>
    <t>Risk-free rate</t>
  </si>
  <si>
    <t>Tax rate (5-year average)</t>
  </si>
  <si>
    <t>Market risk premium</t>
  </si>
  <si>
    <t>INPUTS</t>
  </si>
  <si>
    <t>Levered Beta</t>
  </si>
  <si>
    <t>Add: risk-free rate</t>
  </si>
  <si>
    <t>Adjusted market risk premium</t>
  </si>
  <si>
    <t>Cost of Equity</t>
  </si>
  <si>
    <t>Equity to total capitalization</t>
  </si>
  <si>
    <t>Cost of debt</t>
  </si>
  <si>
    <t>Tax rate</t>
  </si>
  <si>
    <t>After-tax cost of debt</t>
  </si>
  <si>
    <t>Debt to total capitalization</t>
  </si>
  <si>
    <t>Cost of debt portion</t>
  </si>
  <si>
    <t>Company Name</t>
  </si>
  <si>
    <t>Total Debt</t>
  </si>
  <si>
    <t>Market cap</t>
  </si>
  <si>
    <t>Unlevered Beta</t>
  </si>
  <si>
    <t>average tax rate</t>
  </si>
  <si>
    <t>5-year</t>
  </si>
  <si>
    <t>PLTR Levered Beta</t>
  </si>
  <si>
    <t>WACC Sensitivity</t>
  </si>
  <si>
    <t>Datadog</t>
  </si>
  <si>
    <t>NASDAQ: DDOG</t>
  </si>
  <si>
    <t>Snowflake</t>
  </si>
  <si>
    <t>NYSE: SNOW</t>
  </si>
  <si>
    <t>Hubspot</t>
  </si>
  <si>
    <t>NYSE: HUBS</t>
  </si>
  <si>
    <t>Salesforce</t>
  </si>
  <si>
    <t>NYSE: CRM</t>
  </si>
  <si>
    <t>Oracle</t>
  </si>
  <si>
    <t>NYSE: ORCL</t>
  </si>
  <si>
    <t>Palo Alto Networks</t>
  </si>
  <si>
    <t>NASDAQ: PANW</t>
  </si>
  <si>
    <t>Cost of equity portion</t>
  </si>
  <si>
    <t>Pre-tax cost of debt</t>
  </si>
  <si>
    <t>Pre-tax cost of debt step</t>
  </si>
  <si>
    <t>Cost of equity step</t>
  </si>
  <si>
    <t>Debt to total cap/Equity to total cap step</t>
  </si>
  <si>
    <t xml:space="preserve">Gross  </t>
  </si>
  <si>
    <t xml:space="preserve">margin </t>
  </si>
  <si>
    <t xml:space="preserve">% </t>
  </si>
  <si>
    <t xml:space="preserve">%  </t>
  </si>
  <si>
    <t>Discounted Cash Flows</t>
  </si>
  <si>
    <t xml:space="preserve">  </t>
  </si>
  <si>
    <t>Operating expenses</t>
  </si>
  <si>
    <t>Operating income</t>
  </si>
  <si>
    <t>Tax expense</t>
  </si>
  <si>
    <t>NOPAT</t>
  </si>
  <si>
    <t>Non-cash add back</t>
  </si>
  <si>
    <t>Net working capital adjustments</t>
  </si>
  <si>
    <t>(Increase)/Decrease in accounts receivable</t>
  </si>
  <si>
    <t>(Increase)/Decrease in prepaid expenses and other current assets</t>
  </si>
  <si>
    <t>Increase/(Decrease) in accounts payable</t>
  </si>
  <si>
    <t>Increase/(Decrease) in accrued liabilities</t>
  </si>
  <si>
    <t>Increase/(Decrease in deferred revenue</t>
  </si>
  <si>
    <t>Increase/(Decrease) in customer deposits</t>
  </si>
  <si>
    <t>Capital expenditures</t>
  </si>
  <si>
    <t>Unlevered Free Cash Flow</t>
  </si>
  <si>
    <t>PV Factor</t>
  </si>
  <si>
    <t>PV of Unlevered Free Cash Flows</t>
  </si>
  <si>
    <t>Most recent fiscal year end</t>
  </si>
  <si>
    <t>Valuation date</t>
  </si>
  <si>
    <t>Share price</t>
  </si>
  <si>
    <t>Share price date</t>
  </si>
  <si>
    <t>Potion of first year cash flows</t>
  </si>
  <si>
    <t>Discount rate (WACC)</t>
  </si>
  <si>
    <t>End of first fiscal year</t>
  </si>
  <si>
    <t>Unlevered Free Cash Flow stub adjusted</t>
  </si>
  <si>
    <t>Terminal Value - Gordon Growth</t>
  </si>
  <si>
    <t>Terminal Value - Exit Multiple</t>
  </si>
  <si>
    <t>Net Debt</t>
  </si>
  <si>
    <t>Shares Outstanding</t>
  </si>
  <si>
    <t>Palantir Avg tax rate</t>
  </si>
  <si>
    <t>Long-term growth rate</t>
  </si>
  <si>
    <t>PV of terminal value</t>
  </si>
  <si>
    <t>Terminal value</t>
  </si>
  <si>
    <t>PV of stage 1 cash flows</t>
  </si>
  <si>
    <t>Total Enterprise Value</t>
  </si>
  <si>
    <t>Terminal value as % of TEV</t>
  </si>
  <si>
    <t>Stage 1 cash flows as % of TEV</t>
  </si>
  <si>
    <t>Implied TV exit EBITDA multiple</t>
  </si>
  <si>
    <t>Terminal year EBITDA</t>
  </si>
  <si>
    <t>EBITDA multiple</t>
  </si>
  <si>
    <t>2035 FCF x (1+g)</t>
  </si>
  <si>
    <t>Implied terminal growth rate</t>
  </si>
  <si>
    <t>Gross debt and equivalents</t>
  </si>
  <si>
    <t>Debt</t>
  </si>
  <si>
    <t>Preferred stock</t>
  </si>
  <si>
    <t>Convertible debt</t>
  </si>
  <si>
    <t>Nonoperating assets</t>
  </si>
  <si>
    <t>Cash and marketable securities</t>
  </si>
  <si>
    <t>Valuation</t>
  </si>
  <si>
    <t>Enterprise value</t>
  </si>
  <si>
    <t>Net debt</t>
  </si>
  <si>
    <t>Equity value</t>
  </si>
  <si>
    <t>Shares outstanding</t>
  </si>
  <si>
    <t>Equity value per share</t>
  </si>
  <si>
    <t>Perpetuity</t>
  </si>
  <si>
    <t>EV / Revenue</t>
  </si>
  <si>
    <t xml:space="preserve">EV / EBITDA </t>
  </si>
  <si>
    <t>EV / EBIT</t>
  </si>
  <si>
    <t>Last twelve months (LTM)</t>
  </si>
  <si>
    <t>Restricted stock/RSUs</t>
  </si>
  <si>
    <t>Convertible preferred stock</t>
  </si>
  <si>
    <t>Year 1 Forecast</t>
  </si>
  <si>
    <t>Net Diluted Shares Outstanding</t>
  </si>
  <si>
    <t>SARs/Options</t>
  </si>
  <si>
    <t xml:space="preserve">  Total proceeds</t>
  </si>
  <si>
    <t xml:space="preserve">  Shares repurchased</t>
  </si>
  <si>
    <t xml:space="preserve">  Net dilutive impact of SARs/Options</t>
  </si>
  <si>
    <t>Midyear convention</t>
  </si>
  <si>
    <t>Val Date</t>
  </si>
  <si>
    <t xml:space="preserve">WACC </t>
  </si>
  <si>
    <t>Exit EBITDA Multiple</t>
  </si>
  <si>
    <t>Year 1 EBITDA Multiple</t>
  </si>
  <si>
    <t>Comparable Company Inputs</t>
  </si>
  <si>
    <t>Refresh Date</t>
  </si>
  <si>
    <t>Recent Calendarized Date</t>
  </si>
  <si>
    <t>General Inputs</t>
  </si>
  <si>
    <t>Company name</t>
  </si>
  <si>
    <t>Lastest closing price</t>
  </si>
  <si>
    <t>Latest quarter year end</t>
  </si>
  <si>
    <t>Latest fiscal year end</t>
  </si>
  <si>
    <t>Share Counts</t>
  </si>
  <si>
    <t>Balance Sheet Data</t>
  </si>
  <si>
    <t>Market Valuation Summary</t>
  </si>
  <si>
    <t>Income Statement Data</t>
  </si>
  <si>
    <t>Financial Forecast Data</t>
  </si>
  <si>
    <t>Basic share count</t>
  </si>
  <si>
    <t>Options count</t>
  </si>
  <si>
    <t># of options exercised</t>
  </si>
  <si>
    <t>Option proceeds</t>
  </si>
  <si>
    <t>Total Basic Share Count</t>
  </si>
  <si>
    <t>Net Dilution from Options</t>
  </si>
  <si>
    <t>Dilution from convertible debt</t>
  </si>
  <si>
    <t>Dilution from preferred stock</t>
  </si>
  <si>
    <t>Fully Diluted Shares Outstanding</t>
  </si>
  <si>
    <t>Cash</t>
  </si>
  <si>
    <t>Cash &amp; Cash Equivalents</t>
  </si>
  <si>
    <t>Accounts Receivable</t>
  </si>
  <si>
    <t>Goodwill &amp; Intangibles</t>
  </si>
  <si>
    <t>Equity Method Investments</t>
  </si>
  <si>
    <t>PP&amp;E, Net</t>
  </si>
  <si>
    <t>Notes Payable</t>
  </si>
  <si>
    <t>Current Portion of Long-Term Debt</t>
  </si>
  <si>
    <t>Other Short-Term Debt</t>
  </si>
  <si>
    <t>Total Short-Term Debt</t>
  </si>
  <si>
    <t>Long-Term Debt</t>
  </si>
  <si>
    <t>Other Long-Term Debt</t>
  </si>
  <si>
    <t>Total Long-Term Debt</t>
  </si>
  <si>
    <t>Minority Interests</t>
  </si>
  <si>
    <t>Preferred Stock</t>
  </si>
  <si>
    <t>Total Shareholders' Equity</t>
  </si>
  <si>
    <t>Price Per Share</t>
  </si>
  <si>
    <t>Market Value of Equity</t>
  </si>
  <si>
    <t>Minority Interest</t>
  </si>
  <si>
    <t>Enterprise Value</t>
  </si>
  <si>
    <t>COGS (enter as -)</t>
  </si>
  <si>
    <t>Gross Profit</t>
  </si>
  <si>
    <t>Operating Expenses</t>
  </si>
  <si>
    <t>Operating Income (EBIT)</t>
  </si>
  <si>
    <t>Non-operating (expense) / benefit</t>
  </si>
  <si>
    <t>Pre-tax Income (EBT)</t>
  </si>
  <si>
    <t>Tax (expense) / benefit</t>
  </si>
  <si>
    <t>Net Income</t>
  </si>
  <si>
    <t>Diluted Weighted Avg. Shares</t>
  </si>
  <si>
    <t>Depreciation &amp; Amortization</t>
  </si>
  <si>
    <t>Calculated Tax Rate</t>
  </si>
  <si>
    <t>Last Fiscal Year</t>
  </si>
  <si>
    <t>FY1</t>
  </si>
  <si>
    <t>FY2</t>
  </si>
  <si>
    <t>FY3</t>
  </si>
  <si>
    <t>FY4</t>
  </si>
  <si>
    <t>FY1 Date</t>
  </si>
  <si>
    <t>CY0 Date</t>
  </si>
  <si>
    <t>% of Last FY</t>
  </si>
  <si>
    <t>% of Next FY</t>
  </si>
  <si>
    <t>CY0</t>
  </si>
  <si>
    <t>CY1</t>
  </si>
  <si>
    <t>CY2</t>
  </si>
  <si>
    <t>CY3</t>
  </si>
  <si>
    <t>RSUs/PSUs</t>
  </si>
  <si>
    <t>Weighted average exercise price</t>
  </si>
  <si>
    <t>Convertible debt outstanding</t>
  </si>
  <si>
    <t>Conversion ratio</t>
  </si>
  <si>
    <t>Conversion price</t>
  </si>
  <si>
    <t>Convertible preferred par value</t>
  </si>
  <si>
    <t>Preferred shares oustanding</t>
  </si>
  <si>
    <t>Common shares convertible into</t>
  </si>
  <si>
    <t>Prepaid expenses &amp; other current assets</t>
  </si>
  <si>
    <t>Operating lease assets</t>
  </si>
  <si>
    <t>Latest Fiscal Year</t>
  </si>
  <si>
    <t>Latest Fiscal Quarters</t>
  </si>
  <si>
    <t>Prior Fiscal Quarters</t>
  </si>
  <si>
    <t>LTM Summary</t>
  </si>
  <si>
    <t>LTM Revenue</t>
  </si>
  <si>
    <t>LTM Adjusted EBITDA</t>
  </si>
  <si>
    <t>LTM Adjusted EBIT</t>
  </si>
  <si>
    <t>LTM Adjusted Net Income</t>
  </si>
  <si>
    <t>LTM Adjusted EPS</t>
  </si>
  <si>
    <t>Fiscal Year End</t>
  </si>
  <si>
    <t>Calendarized Forecasts</t>
  </si>
  <si>
    <t>FY5</t>
  </si>
  <si>
    <t>EPS</t>
  </si>
  <si>
    <t>Operating Lease Liabilities</t>
  </si>
  <si>
    <t>Investments</t>
  </si>
  <si>
    <t>Accounts payable, acrrued liabilities, &amp; other current liabilities</t>
  </si>
  <si>
    <t>CY4</t>
  </si>
  <si>
    <t>Comparable Company Valuation</t>
  </si>
  <si>
    <t>CAGR</t>
  </si>
  <si>
    <t>Adjusted EBITDA Margin</t>
  </si>
  <si>
    <t>Adjusted Net Income</t>
  </si>
  <si>
    <t>Adjusted Net Income Margin</t>
  </si>
  <si>
    <t>Company</t>
  </si>
  <si>
    <t>Price</t>
  </si>
  <si>
    <t>LTM</t>
  </si>
  <si>
    <t>Comparable Company Operating Metrics</t>
  </si>
  <si>
    <t>Net Debt/ LTM EBITDA</t>
  </si>
  <si>
    <t>Mean</t>
  </si>
  <si>
    <t>Median</t>
  </si>
  <si>
    <t>Min</t>
  </si>
  <si>
    <t>Max</t>
  </si>
  <si>
    <t>Market Capitalization</t>
  </si>
  <si>
    <t>Non-GAAP Operating Adjustments</t>
  </si>
  <si>
    <t>Non-GAAP Non-Operating Adjustments</t>
  </si>
  <si>
    <t>Tax Effect on Non-GAAP Adjustments</t>
  </si>
  <si>
    <t>Adjusted EBIT</t>
  </si>
  <si>
    <t>Adjusted EPS</t>
  </si>
  <si>
    <t>EV/Revenue</t>
  </si>
  <si>
    <t>FY0-FY2</t>
  </si>
  <si>
    <t>EV/EBIT</t>
  </si>
  <si>
    <t>EV/EBITDA</t>
  </si>
  <si>
    <t>Price/Earnings</t>
  </si>
  <si>
    <t>Adjusted EBIT Margin</t>
  </si>
  <si>
    <t>Gross Debt</t>
  </si>
  <si>
    <t>DCF - Gordon Growth</t>
  </si>
  <si>
    <t>DCF - Exit Multiple</t>
  </si>
  <si>
    <t>DCF Value at 2%-4.5% Perpetuity Range at 10.16% WACC</t>
  </si>
  <si>
    <t>DCF Value at 30x-40x Exit EBITDA Range at 10.16% WACC</t>
  </si>
  <si>
    <t>Low</t>
  </si>
  <si>
    <t>Difference</t>
  </si>
  <si>
    <t>High</t>
  </si>
  <si>
    <t>Comps Value from FY1 mean-median range EV/EBITDA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</si>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</sst>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####&quot;A&quot;"/>
    <numFmt numFmtId="165" formatCode="####&quot;E&quot;"/>
    <numFmt numFmtId="166" formatCode="#,##0_);\(#,##0\)"/>
    <numFmt numFmtId="167" formatCode="#0.00_);\(#0.00\)"/>
    <numFmt numFmtId="168" formatCode="0.00%_);\(0.00%\)"/>
    <numFmt numFmtId="169" formatCode="0.0%_);\(0.0%\)"/>
    <numFmt numFmtId="170" formatCode="##\ &quot;days&quot;"/>
    <numFmt numFmtId="171" formatCode="#,##0.00_);\(#,##0.00\)"/>
    <numFmt numFmtId="172" formatCode="0.00_);\(0.00\)"/>
    <numFmt numFmtId="173" formatCode="0.0\x_);\(0.0\x\)"/>
    <numFmt numFmtId="174" formatCode="&quot;$&quot;0.00_);\(&quot;$&quot;0.00\)"/>
    <numFmt numFmtId="175" formatCode="&quot;$&quot;0.00"/>
    <numFmt numFmtId="176" formatCode="&quot;Year&quot;\ ####"/>
    <numFmt numFmtId="177" formatCode="0.0\x"/>
    <numFmt numFmtId="178" formatCode="#,##0;\(#,##0\)"/>
    <numFmt numFmtId="179" formatCode="&quot;$&quot;#,##0.00"/>
    <numFmt numFmtId="180" formatCode="0.00\x_);\(0.00\x\)"/>
    <numFmt numFmtId="181" formatCode="&quot;FY&quot;#"/>
    <numFmt numFmtId="182" formatCode="&quot;FY&quot;#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i/>
      <sz val="11"/>
      <color theme="1"/>
      <name val="Calibri"/>
      <family val="2"/>
    </font>
    <font>
      <sz val="11"/>
      <color theme="9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9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7" fillId="0" borderId="0"/>
    <xf numFmtId="43" fontId="18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6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 applyAlignment="1">
      <alignment horizontal="centerContinuous"/>
    </xf>
    <xf numFmtId="0" fontId="8" fillId="2" borderId="0" xfId="0" applyFont="1" applyFill="1" applyAlignment="1">
      <alignment horizontal="centerContinuous"/>
    </xf>
    <xf numFmtId="0" fontId="9" fillId="0" borderId="0" xfId="0" applyFont="1"/>
    <xf numFmtId="0" fontId="9" fillId="0" borderId="5" xfId="0" applyFont="1" applyBorder="1"/>
    <xf numFmtId="0" fontId="9" fillId="0" borderId="5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9" fillId="0" borderId="3" xfId="0" applyFont="1" applyBorder="1" applyAlignment="1">
      <alignment horizontal="centerContinuous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0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5" xfId="0" applyFont="1" applyFill="1" applyBorder="1"/>
    <xf numFmtId="0" fontId="2" fillId="2" borderId="10" xfId="0" applyFont="1" applyFill="1" applyBorder="1"/>
    <xf numFmtId="0" fontId="11" fillId="2" borderId="9" xfId="0" applyFont="1" applyFill="1" applyBorder="1"/>
    <xf numFmtId="164" fontId="9" fillId="0" borderId="0" xfId="0" applyNumberFormat="1" applyFont="1"/>
    <xf numFmtId="165" fontId="9" fillId="0" borderId="0" xfId="0" applyNumberFormat="1" applyFont="1"/>
    <xf numFmtId="14" fontId="9" fillId="0" borderId="5" xfId="0" applyNumberFormat="1" applyFont="1" applyBorder="1"/>
    <xf numFmtId="0" fontId="11" fillId="0" borderId="0" xfId="0" applyFont="1"/>
    <xf numFmtId="0" fontId="9" fillId="0" borderId="11" xfId="0" applyFont="1" applyBorder="1"/>
    <xf numFmtId="0" fontId="10" fillId="2" borderId="7" xfId="0" applyFont="1" applyFill="1" applyBorder="1"/>
    <xf numFmtId="0" fontId="11" fillId="2" borderId="5" xfId="0" applyFont="1" applyFill="1" applyBorder="1"/>
    <xf numFmtId="0" fontId="6" fillId="2" borderId="3" xfId="0" applyFont="1" applyFill="1" applyBorder="1"/>
    <xf numFmtId="166" fontId="2" fillId="0" borderId="0" xfId="0" applyNumberFormat="1" applyFont="1"/>
    <xf numFmtId="166" fontId="2" fillId="0" borderId="5" xfId="0" applyNumberFormat="1" applyFont="1" applyBorder="1"/>
    <xf numFmtId="166" fontId="7" fillId="0" borderId="0" xfId="0" applyNumberFormat="1" applyFont="1"/>
    <xf numFmtId="166" fontId="7" fillId="0" borderId="5" xfId="0" applyNumberFormat="1" applyFont="1" applyBorder="1"/>
    <xf numFmtId="167" fontId="7" fillId="0" borderId="0" xfId="0" applyNumberFormat="1" applyFont="1"/>
    <xf numFmtId="166" fontId="9" fillId="0" borderId="0" xfId="0" applyNumberFormat="1" applyFont="1"/>
    <xf numFmtId="166" fontId="9" fillId="0" borderId="11" xfId="0" applyNumberFormat="1" applyFont="1" applyBorder="1"/>
    <xf numFmtId="164" fontId="2" fillId="0" borderId="12" xfId="0" applyNumberFormat="1" applyFont="1" applyBorder="1" applyAlignment="1">
      <alignment horizontal="centerContinuous"/>
    </xf>
    <xf numFmtId="168" fontId="2" fillId="0" borderId="0" xfId="0" applyNumberFormat="1" applyFont="1"/>
    <xf numFmtId="0" fontId="2" fillId="0" borderId="13" xfId="0" applyFont="1" applyBorder="1" applyAlignment="1">
      <alignment horizontal="centerContinuous"/>
    </xf>
    <xf numFmtId="169" fontId="2" fillId="2" borderId="12" xfId="0" applyNumberFormat="1" applyFont="1" applyFill="1" applyBorder="1"/>
    <xf numFmtId="169" fontId="2" fillId="0" borderId="14" xfId="0" applyNumberFormat="1" applyFont="1" applyBorder="1" applyAlignment="1">
      <alignment horizontal="centerContinuous"/>
    </xf>
    <xf numFmtId="168" fontId="2" fillId="2" borderId="0" xfId="0" applyNumberFormat="1" applyFont="1" applyFill="1"/>
    <xf numFmtId="168" fontId="12" fillId="0" borderId="0" xfId="0" applyNumberFormat="1" applyFont="1"/>
    <xf numFmtId="169" fontId="7" fillId="0" borderId="14" xfId="0" applyNumberFormat="1" applyFont="1" applyBorder="1" applyAlignment="1">
      <alignment horizontal="centerContinuous"/>
    </xf>
    <xf numFmtId="169" fontId="7" fillId="0" borderId="13" xfId="0" applyNumberFormat="1" applyFont="1" applyBorder="1" applyAlignment="1">
      <alignment horizontal="centerContinuous"/>
    </xf>
    <xf numFmtId="0" fontId="11" fillId="0" borderId="5" xfId="0" applyFont="1" applyBorder="1"/>
    <xf numFmtId="169" fontId="7" fillId="0" borderId="0" xfId="0" applyNumberFormat="1" applyFont="1" applyAlignment="1">
      <alignment horizontal="centerContinuous"/>
    </xf>
    <xf numFmtId="168" fontId="2" fillId="2" borderId="14" xfId="0" applyNumberFormat="1" applyFont="1" applyFill="1" applyBorder="1" applyAlignment="1">
      <alignment horizontal="centerContinuous"/>
    </xf>
    <xf numFmtId="166" fontId="13" fillId="0" borderId="0" xfId="0" applyNumberFormat="1" applyFont="1"/>
    <xf numFmtId="166" fontId="12" fillId="0" borderId="0" xfId="0" applyNumberFormat="1" applyFont="1"/>
    <xf numFmtId="0" fontId="12" fillId="0" borderId="0" xfId="0" applyFont="1"/>
    <xf numFmtId="166" fontId="5" fillId="0" borderId="0" xfId="0" applyNumberFormat="1" applyFont="1"/>
    <xf numFmtId="166" fontId="6" fillId="0" borderId="0" xfId="0" applyNumberFormat="1" applyFont="1"/>
    <xf numFmtId="170" fontId="2" fillId="0" borderId="0" xfId="0" applyNumberFormat="1" applyFont="1"/>
    <xf numFmtId="168" fontId="13" fillId="0" borderId="0" xfId="0" applyNumberFormat="1" applyFont="1"/>
    <xf numFmtId="166" fontId="12" fillId="0" borderId="5" xfId="0" applyNumberFormat="1" applyFont="1" applyBorder="1"/>
    <xf numFmtId="166" fontId="13" fillId="0" borderId="5" xfId="0" applyNumberFormat="1" applyFont="1" applyBorder="1"/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6" fontId="2" fillId="2" borderId="0" xfId="0" applyNumberFormat="1" applyFont="1" applyFill="1"/>
    <xf numFmtId="166" fontId="7" fillId="2" borderId="0" xfId="0" applyNumberFormat="1" applyFont="1" applyFill="1"/>
    <xf numFmtId="166" fontId="9" fillId="0" borderId="5" xfId="0" applyNumberFormat="1" applyFont="1" applyBorder="1"/>
    <xf numFmtId="168" fontId="7" fillId="0" borderId="0" xfId="0" applyNumberFormat="1" applyFont="1"/>
    <xf numFmtId="0" fontId="7" fillId="0" borderId="0" xfId="0" applyFont="1"/>
    <xf numFmtId="0" fontId="7" fillId="0" borderId="5" xfId="0" applyFont="1" applyBorder="1"/>
    <xf numFmtId="10" fontId="7" fillId="0" borderId="0" xfId="0" applyNumberFormat="1" applyFont="1"/>
    <xf numFmtId="171" fontId="2" fillId="0" borderId="0" xfId="0" applyNumberFormat="1" applyFont="1"/>
    <xf numFmtId="172" fontId="2" fillId="0" borderId="0" xfId="0" applyNumberFormat="1" applyFont="1"/>
    <xf numFmtId="171" fontId="7" fillId="0" borderId="0" xfId="0" applyNumberFormat="1" applyFont="1"/>
    <xf numFmtId="170" fontId="13" fillId="0" borderId="0" xfId="0" applyNumberFormat="1" applyFont="1"/>
    <xf numFmtId="166" fontId="11" fillId="0" borderId="0" xfId="0" applyNumberFormat="1" applyFont="1"/>
    <xf numFmtId="14" fontId="9" fillId="0" borderId="0" xfId="0" applyNumberFormat="1" applyFont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9" fillId="0" borderId="2" xfId="0" applyFont="1" applyBorder="1"/>
    <xf numFmtId="172" fontId="2" fillId="0" borderId="4" xfId="0" applyNumberFormat="1" applyFont="1" applyBorder="1"/>
    <xf numFmtId="0" fontId="2" fillId="0" borderId="15" xfId="0" applyFont="1" applyBorder="1"/>
    <xf numFmtId="168" fontId="2" fillId="0" borderId="15" xfId="0" applyNumberFormat="1" applyFont="1" applyBorder="1"/>
    <xf numFmtId="0" fontId="9" fillId="0" borderId="0" xfId="0" applyFont="1" applyAlignment="1">
      <alignment horizontal="centerContinuous"/>
    </xf>
    <xf numFmtId="168" fontId="9" fillId="0" borderId="5" xfId="0" applyNumberFormat="1" applyFont="1" applyBorder="1"/>
    <xf numFmtId="168" fontId="9" fillId="0" borderId="4" xfId="0" applyNumberFormat="1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9" fillId="0" borderId="16" xfId="0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168" fontId="4" fillId="0" borderId="16" xfId="0" applyNumberFormat="1" applyFont="1" applyBorder="1"/>
    <xf numFmtId="168" fontId="9" fillId="0" borderId="10" xfId="0" applyNumberFormat="1" applyFont="1" applyBorder="1"/>
    <xf numFmtId="168" fontId="9" fillId="0" borderId="14" xfId="0" applyNumberFormat="1" applyFont="1" applyBorder="1"/>
    <xf numFmtId="0" fontId="2" fillId="0" borderId="16" xfId="0" applyFont="1" applyBorder="1"/>
    <xf numFmtId="0" fontId="9" fillId="0" borderId="15" xfId="0" applyFont="1" applyBorder="1" applyAlignment="1">
      <alignment horizontal="centerContinuous"/>
    </xf>
    <xf numFmtId="168" fontId="9" fillId="0" borderId="14" xfId="0" applyNumberFormat="1" applyFont="1" applyBorder="1" applyAlignment="1">
      <alignment horizontal="right" indent="1"/>
    </xf>
    <xf numFmtId="172" fontId="9" fillId="0" borderId="4" xfId="0" applyNumberFormat="1" applyFont="1" applyBorder="1"/>
    <xf numFmtId="168" fontId="8" fillId="0" borderId="5" xfId="0" applyNumberFormat="1" applyFont="1" applyBorder="1"/>
    <xf numFmtId="168" fontId="8" fillId="0" borderId="14" xfId="0" applyNumberFormat="1" applyFont="1" applyBorder="1"/>
    <xf numFmtId="168" fontId="8" fillId="0" borderId="14" xfId="0" applyNumberFormat="1" applyFont="1" applyBorder="1" applyAlignment="1">
      <alignment horizontal="right" indent="1"/>
    </xf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9" fillId="0" borderId="0" xfId="0" applyFont="1" applyAlignment="1">
      <alignment horizontal="right"/>
    </xf>
    <xf numFmtId="0" fontId="4" fillId="0" borderId="6" xfId="0" applyFont="1" applyBorder="1"/>
    <xf numFmtId="0" fontId="2" fillId="0" borderId="6" xfId="0" applyFont="1" applyBorder="1"/>
    <xf numFmtId="12" fontId="9" fillId="0" borderId="0" xfId="0" applyNumberFormat="1" applyFont="1" applyAlignment="1">
      <alignment horizontal="centerContinuous"/>
    </xf>
    <xf numFmtId="168" fontId="8" fillId="0" borderId="3" xfId="0" applyNumberFormat="1" applyFont="1" applyBorder="1"/>
    <xf numFmtId="0" fontId="9" fillId="0" borderId="7" xfId="0" applyFont="1" applyBorder="1"/>
    <xf numFmtId="164" fontId="9" fillId="0" borderId="7" xfId="0" applyNumberFormat="1" applyFont="1" applyBorder="1"/>
    <xf numFmtId="165" fontId="9" fillId="0" borderId="7" xfId="0" applyNumberFormat="1" applyFont="1" applyBorder="1"/>
    <xf numFmtId="0" fontId="6" fillId="2" borderId="4" xfId="0" applyFont="1" applyFill="1" applyBorder="1"/>
    <xf numFmtId="168" fontId="7" fillId="2" borderId="0" xfId="0" applyNumberFormat="1" applyFont="1" applyFill="1" applyAlignment="1">
      <alignment horizontal="centerContinuous"/>
    </xf>
    <xf numFmtId="173" fontId="2" fillId="0" borderId="0" xfId="0" applyNumberFormat="1" applyFont="1"/>
    <xf numFmtId="168" fontId="7" fillId="0" borderId="8" xfId="0" applyNumberFormat="1" applyFont="1" applyBorder="1"/>
    <xf numFmtId="166" fontId="2" fillId="0" borderId="15" xfId="0" applyNumberFormat="1" applyFont="1" applyBorder="1"/>
    <xf numFmtId="0" fontId="11" fillId="0" borderId="16" xfId="0" applyFont="1" applyBorder="1"/>
    <xf numFmtId="169" fontId="11" fillId="0" borderId="15" xfId="0" applyNumberFormat="1" applyFont="1" applyBorder="1"/>
    <xf numFmtId="0" fontId="11" fillId="0" borderId="9" xfId="0" applyFont="1" applyBorder="1"/>
    <xf numFmtId="173" fontId="11" fillId="0" borderId="10" xfId="0" applyNumberFormat="1" applyFont="1" applyBorder="1"/>
    <xf numFmtId="166" fontId="12" fillId="0" borderId="8" xfId="0" applyNumberFormat="1" applyFont="1" applyBorder="1"/>
    <xf numFmtId="169" fontId="11" fillId="0" borderId="10" xfId="0" applyNumberFormat="1" applyFont="1" applyBorder="1"/>
    <xf numFmtId="0" fontId="9" fillId="0" borderId="6" xfId="0" applyFont="1" applyBorder="1"/>
    <xf numFmtId="166" fontId="12" fillId="0" borderId="15" xfId="0" applyNumberFormat="1" applyFont="1" applyBorder="1"/>
    <xf numFmtId="0" fontId="9" fillId="0" borderId="16" xfId="0" applyFont="1" applyBorder="1"/>
    <xf numFmtId="0" fontId="9" fillId="0" borderId="9" xfId="0" applyFont="1" applyBorder="1"/>
    <xf numFmtId="166" fontId="7" fillId="0" borderId="15" xfId="0" applyNumberFormat="1" applyFont="1" applyBorder="1"/>
    <xf numFmtId="166" fontId="9" fillId="0" borderId="15" xfId="0" applyNumberFormat="1" applyFont="1" applyBorder="1"/>
    <xf numFmtId="166" fontId="9" fillId="0" borderId="10" xfId="0" applyNumberFormat="1" applyFont="1" applyBorder="1"/>
    <xf numFmtId="164" fontId="9" fillId="0" borderId="7" xfId="0" applyNumberFormat="1" applyFont="1" applyBorder="1" applyAlignment="1">
      <alignment horizontal="right"/>
    </xf>
    <xf numFmtId="0" fontId="6" fillId="2" borderId="6" xfId="0" applyFont="1" applyFill="1" applyBorder="1"/>
    <xf numFmtId="174" fontId="2" fillId="0" borderId="0" xfId="0" applyNumberFormat="1" applyFont="1"/>
    <xf numFmtId="174" fontId="9" fillId="0" borderId="3" xfId="0" applyNumberFormat="1" applyFont="1" applyBorder="1"/>
    <xf numFmtId="174" fontId="9" fillId="0" borderId="4" xfId="0" applyNumberFormat="1" applyFont="1" applyBorder="1"/>
    <xf numFmtId="0" fontId="8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Continuous"/>
    </xf>
    <xf numFmtId="10" fontId="16" fillId="2" borderId="0" xfId="0" applyNumberFormat="1" applyFont="1" applyFill="1" applyAlignment="1">
      <alignment horizontal="centerContinuous"/>
    </xf>
    <xf numFmtId="14" fontId="8" fillId="2" borderId="0" xfId="0" applyNumberFormat="1" applyFont="1" applyFill="1" applyAlignment="1">
      <alignment horizontal="centerContinuous"/>
    </xf>
    <xf numFmtId="10" fontId="9" fillId="2" borderId="0" xfId="0" applyNumberFormat="1" applyFont="1" applyFill="1" applyAlignment="1">
      <alignment horizontal="centerContinuous"/>
    </xf>
    <xf numFmtId="175" fontId="8" fillId="2" borderId="0" xfId="0" applyNumberFormat="1" applyFont="1" applyFill="1" applyAlignment="1">
      <alignment horizontal="centerContinuous"/>
    </xf>
    <xf numFmtId="176" fontId="9" fillId="0" borderId="7" xfId="0" applyNumberFormat="1" applyFont="1" applyBorder="1"/>
    <xf numFmtId="174" fontId="4" fillId="0" borderId="6" xfId="0" applyNumberFormat="1" applyFont="1" applyBorder="1"/>
    <xf numFmtId="177" fontId="4" fillId="0" borderId="6" xfId="0" applyNumberFormat="1" applyFont="1" applyBorder="1"/>
    <xf numFmtId="173" fontId="8" fillId="0" borderId="3" xfId="0" applyNumberFormat="1" applyFont="1" applyBorder="1"/>
    <xf numFmtId="178" fontId="8" fillId="2" borderId="0" xfId="0" applyNumberFormat="1" applyFont="1" applyFill="1" applyAlignment="1">
      <alignment horizontal="centerContinuous"/>
    </xf>
    <xf numFmtId="14" fontId="7" fillId="0" borderId="0" xfId="0" applyNumberFormat="1" applyFont="1" applyAlignment="1">
      <alignment horizontal="centerContinuous"/>
    </xf>
    <xf numFmtId="174" fontId="7" fillId="0" borderId="0" xfId="0" applyNumberFormat="1" applyFont="1"/>
    <xf numFmtId="172" fontId="7" fillId="0" borderId="0" xfId="0" applyNumberFormat="1" applyFont="1"/>
    <xf numFmtId="174" fontId="2" fillId="0" borderId="0" xfId="0" applyNumberFormat="1" applyFont="1" applyAlignment="1">
      <alignment horizontal="centerContinuous"/>
    </xf>
    <xf numFmtId="174" fontId="7" fillId="0" borderId="0" xfId="0" applyNumberFormat="1" applyFont="1" applyAlignment="1">
      <alignment horizontal="centerContinuous"/>
    </xf>
    <xf numFmtId="0" fontId="6" fillId="0" borderId="0" xfId="0" applyFont="1"/>
    <xf numFmtId="0" fontId="6" fillId="0" borderId="0" xfId="0" applyFont="1" applyAlignment="1">
      <alignment horizontal="centerContinuous"/>
    </xf>
    <xf numFmtId="43" fontId="7" fillId="0" borderId="0" xfId="2" applyFont="1"/>
    <xf numFmtId="43" fontId="7" fillId="0" borderId="0" xfId="2" applyFont="1" applyAlignment="1">
      <alignment horizontal="right"/>
    </xf>
    <xf numFmtId="43" fontId="2" fillId="0" borderId="0" xfId="2" applyFont="1" applyAlignment="1">
      <alignment horizontal="right"/>
    </xf>
    <xf numFmtId="43" fontId="9" fillId="0" borderId="0" xfId="2" applyFont="1" applyAlignment="1">
      <alignment horizontal="right"/>
    </xf>
    <xf numFmtId="172" fontId="13" fillId="0" borderId="0" xfId="0" applyNumberFormat="1" applyFont="1"/>
    <xf numFmtId="0" fontId="0" fillId="0" borderId="5" xfId="0" applyBorder="1"/>
    <xf numFmtId="0" fontId="19" fillId="0" borderId="0" xfId="0" applyFont="1"/>
    <xf numFmtId="0" fontId="1" fillId="0" borderId="0" xfId="0" applyFont="1"/>
    <xf numFmtId="0" fontId="1" fillId="0" borderId="5" xfId="0" applyFont="1" applyBorder="1" applyAlignment="1">
      <alignment horizontal="centerContinuous"/>
    </xf>
    <xf numFmtId="0" fontId="1" fillId="0" borderId="5" xfId="0" applyFont="1" applyBorder="1"/>
    <xf numFmtId="179" fontId="1" fillId="0" borderId="5" xfId="0" applyNumberFormat="1" applyFont="1" applyBorder="1" applyAlignment="1">
      <alignment horizontal="centerContinuous"/>
    </xf>
    <xf numFmtId="166" fontId="0" fillId="0" borderId="0" xfId="0" applyNumberFormat="1"/>
    <xf numFmtId="168" fontId="0" fillId="0" borderId="0" xfId="0" applyNumberFormat="1"/>
    <xf numFmtId="180" fontId="0" fillId="0" borderId="0" xfId="0" applyNumberFormat="1"/>
    <xf numFmtId="0" fontId="0" fillId="0" borderId="16" xfId="0" applyBorder="1"/>
    <xf numFmtId="0" fontId="0" fillId="0" borderId="15" xfId="0" applyBorder="1"/>
    <xf numFmtId="0" fontId="0" fillId="0" borderId="10" xfId="0" applyBorder="1"/>
    <xf numFmtId="174" fontId="0" fillId="0" borderId="0" xfId="0" applyNumberFormat="1"/>
    <xf numFmtId="180" fontId="0" fillId="0" borderId="7" xfId="0" applyNumberFormat="1" applyBorder="1"/>
    <xf numFmtId="180" fontId="0" fillId="0" borderId="5" xfId="0" applyNumberFormat="1" applyBorder="1"/>
    <xf numFmtId="168" fontId="0" fillId="0" borderId="7" xfId="0" applyNumberFormat="1" applyBorder="1"/>
    <xf numFmtId="168" fontId="0" fillId="0" borderId="5" xfId="0" applyNumberFormat="1" applyBorder="1"/>
    <xf numFmtId="166" fontId="7" fillId="0" borderId="0" xfId="2" applyNumberFormat="1" applyFont="1"/>
    <xf numFmtId="166" fontId="8" fillId="0" borderId="0" xfId="2" applyNumberFormat="1" applyFont="1"/>
    <xf numFmtId="181" fontId="1" fillId="0" borderId="5" xfId="0" applyNumberFormat="1" applyFont="1" applyBorder="1" applyAlignment="1">
      <alignment horizontal="centerContinuous"/>
    </xf>
    <xf numFmtId="182" fontId="1" fillId="0" borderId="5" xfId="0" applyNumberFormat="1" applyFont="1" applyBorder="1" applyAlignment="1">
      <alignment horizontal="centerContinuous"/>
    </xf>
    <xf numFmtId="0" fontId="0" fillId="0" borderId="16" xfId="0" applyBorder="1" applyAlignment="1">
      <alignment horizontal="left"/>
    </xf>
    <xf numFmtId="179" fontId="1" fillId="0" borderId="5" xfId="0" applyNumberFormat="1" applyFont="1" applyBorder="1"/>
    <xf numFmtId="179" fontId="1" fillId="0" borderId="0" xfId="0" applyNumberFormat="1" applyFont="1"/>
    <xf numFmtId="173" fontId="0" fillId="0" borderId="0" xfId="0" applyNumberFormat="1"/>
    <xf numFmtId="173" fontId="0" fillId="0" borderId="7" xfId="0" applyNumberFormat="1" applyBorder="1"/>
    <xf numFmtId="173" fontId="0" fillId="0" borderId="5" xfId="0" applyNumberFormat="1" applyBorder="1"/>
    <xf numFmtId="173" fontId="12" fillId="0" borderId="15" xfId="0" applyNumberFormat="1" applyFont="1" applyBorder="1"/>
    <xf numFmtId="0" fontId="1" fillId="0" borderId="16" xfId="0" applyFont="1" applyBorder="1"/>
    <xf numFmtId="0" fontId="1" fillId="0" borderId="9" xfId="0" applyFont="1" applyBorder="1"/>
    <xf numFmtId="175" fontId="16" fillId="2" borderId="0" xfId="0" applyNumberFormat="1" applyFont="1" applyFill="1" applyAlignment="1">
      <alignment horizontal="centerContinuous"/>
    </xf>
    <xf numFmtId="168" fontId="7" fillId="2" borderId="0" xfId="0" applyNumberFormat="1" applyFont="1" applyFill="1"/>
    <xf numFmtId="168" fontId="6" fillId="0" borderId="3" xfId="0" applyNumberFormat="1" applyFont="1" applyBorder="1"/>
    <xf numFmtId="168" fontId="6" fillId="0" borderId="14" xfId="0" applyNumberFormat="1" applyFont="1" applyBorder="1"/>
    <xf numFmtId="167" fontId="13" fillId="0" borderId="0" xfId="0" applyNumberFormat="1" applyFont="1"/>
    <xf numFmtId="0" fontId="8" fillId="2" borderId="1" xfId="0" applyFont="1" applyFill="1" applyBorder="1" applyAlignment="1">
      <alignment horizontal="centerContinuous"/>
    </xf>
    <xf numFmtId="0" fontId="8" fillId="0" borderId="0" xfId="0" applyFont="1"/>
    <xf numFmtId="2" fontId="8" fillId="2" borderId="0" xfId="0" applyNumberFormat="1" applyFont="1" applyFill="1" applyAlignment="1">
      <alignment horizontal="centerContinuous"/>
    </xf>
    <xf numFmtId="172" fontId="13" fillId="0" borderId="5" xfId="0" applyNumberFormat="1" applyFont="1" applyBorder="1"/>
    <xf numFmtId="0" fontId="16" fillId="0" borderId="1" xfId="0" applyFont="1" applyBorder="1" applyAlignment="1">
      <alignment horizontal="centerContinuous"/>
    </xf>
    <xf numFmtId="173" fontId="6" fillId="0" borderId="3" xfId="0" applyNumberFormat="1" applyFont="1" applyBorder="1"/>
    <xf numFmtId="14" fontId="13" fillId="0" borderId="0" xfId="0" applyNumberFormat="1" applyFont="1" applyAlignment="1">
      <alignment horizontal="centerContinuous"/>
    </xf>
    <xf numFmtId="0" fontId="13" fillId="0" borderId="0" xfId="0" applyFont="1"/>
    <xf numFmtId="14" fontId="13" fillId="0" borderId="0" xfId="0" applyNumberFormat="1" applyFont="1"/>
    <xf numFmtId="166" fontId="20" fillId="0" borderId="0" xfId="0" applyNumberFormat="1" applyFont="1"/>
    <xf numFmtId="174" fontId="20" fillId="0" borderId="0" xfId="0" applyNumberFormat="1" applyFont="1"/>
    <xf numFmtId="168" fontId="9" fillId="0" borderId="0" xfId="0" applyNumberFormat="1" applyFont="1"/>
    <xf numFmtId="174" fontId="9" fillId="0" borderId="1" xfId="0" applyNumberFormat="1" applyFont="1" applyBorder="1"/>
  </cellXfs>
  <cellStyles count="3">
    <cellStyle name="Comma" xfId="2" builtinId="3"/>
    <cellStyle name="Normal" xfId="0" builtinId="0"/>
    <cellStyle name="Normal 2" xfId="1" xr:uid="{5A66BB97-F16B-437D-AC15-CA9E976CEE2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20</xdr:row>
      <xdr:rowOff>139803</xdr:rowOff>
    </xdr:from>
    <xdr:to>
      <xdr:col>7</xdr:col>
      <xdr:colOff>1000125</xdr:colOff>
      <xdr:row>24</xdr:row>
      <xdr:rowOff>120753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54C320-21A4-BD27-3E08-666104D104DF}"/>
            </a:ext>
          </a:extLst>
        </xdr:cNvPr>
        <xdr:cNvSpPr txBox="1"/>
      </xdr:nvSpPr>
      <xdr:spPr>
        <a:xfrm>
          <a:off x="6305243" y="4052222"/>
          <a:ext cx="1014156" cy="759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Debt to total</a:t>
          </a:r>
          <a:r>
            <a:rPr lang="en-CA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Capitalization</a:t>
          </a:r>
          <a:endParaRPr lang="en-CA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28574</xdr:colOff>
      <xdr:row>29</xdr:row>
      <xdr:rowOff>142875</xdr:rowOff>
    </xdr:from>
    <xdr:to>
      <xdr:col>7</xdr:col>
      <xdr:colOff>1200149</xdr:colOff>
      <xdr:row>33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E8EBC9-208C-4E19-AEB6-B5C1B7DBCB63}"/>
            </a:ext>
          </a:extLst>
        </xdr:cNvPr>
        <xdr:cNvSpPr txBox="1"/>
      </xdr:nvSpPr>
      <xdr:spPr>
        <a:xfrm>
          <a:off x="6324599" y="5886450"/>
          <a:ext cx="11715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Equity  to total</a:t>
          </a:r>
          <a:r>
            <a:rPr lang="en-CA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Capitalization</a:t>
          </a:r>
          <a:endParaRPr lang="en-CA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8E4C-8FA3-4983-AE52-C462C02EAF91}">
  <dimension ref="C2:T20"/>
  <sheetViews>
    <sheetView showGridLines="0" tabSelected="1" zoomScale="89" workbookViewId="0">
      <selection activeCell="I29" sqref="I29"/>
    </sheetView>
  </sheetViews>
  <sheetFormatPr defaultRowHeight="15" x14ac:dyDescent="0.25"/>
  <cols>
    <col min="1" max="2" width="2.140625" style="1" customWidth="1"/>
    <col min="3" max="3" width="54.140625" style="1" customWidth="1"/>
    <col min="4" max="8" width="15.140625" style="1" customWidth="1"/>
    <col min="9" max="9" width="12.42578125" style="1" customWidth="1"/>
    <col min="10" max="10" width="19.85546875" style="1" bestFit="1" customWidth="1"/>
    <col min="11" max="16" width="12.7109375" style="1" customWidth="1"/>
    <col min="17" max="16384" width="9.140625" style="1"/>
  </cols>
  <sheetData>
    <row r="2" spans="3:20" ht="18.75" x14ac:dyDescent="0.3">
      <c r="C2" s="2" t="s">
        <v>0</v>
      </c>
      <c r="N2"/>
      <c r="O2"/>
      <c r="P2"/>
      <c r="Q2"/>
      <c r="R2"/>
      <c r="S2"/>
      <c r="T2"/>
    </row>
    <row r="3" spans="3:20" x14ac:dyDescent="0.25">
      <c r="C3" s="1" t="s">
        <v>1</v>
      </c>
      <c r="N3"/>
      <c r="O3"/>
      <c r="P3"/>
      <c r="Q3"/>
      <c r="R3"/>
      <c r="S3"/>
      <c r="T3"/>
    </row>
    <row r="4" spans="3:20" x14ac:dyDescent="0.25"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/>
      <c r="O4"/>
      <c r="P4"/>
      <c r="Q4"/>
      <c r="R4"/>
      <c r="S4"/>
      <c r="T4"/>
    </row>
    <row r="5" spans="3:20" x14ac:dyDescent="0.25">
      <c r="N5"/>
      <c r="O5"/>
      <c r="P5"/>
      <c r="Q5"/>
      <c r="R5"/>
      <c r="S5"/>
      <c r="T5"/>
    </row>
    <row r="6" spans="3:20" x14ac:dyDescent="0.25">
      <c r="C6" s="6" t="s">
        <v>6</v>
      </c>
      <c r="D6" s="7"/>
      <c r="E6" s="7"/>
      <c r="F6" s="7"/>
      <c r="G6" s="7"/>
      <c r="H6" s="7"/>
      <c r="I6" s="7"/>
      <c r="J6" s="7"/>
      <c r="K6" s="7"/>
      <c r="L6" s="7"/>
      <c r="M6" s="8"/>
      <c r="N6"/>
      <c r="O6"/>
      <c r="P6"/>
      <c r="Q6"/>
      <c r="R6"/>
      <c r="S6"/>
      <c r="T6"/>
    </row>
    <row r="7" spans="3:20" x14ac:dyDescent="0.25">
      <c r="N7"/>
      <c r="O7"/>
      <c r="P7"/>
      <c r="Q7"/>
      <c r="R7"/>
      <c r="S7"/>
      <c r="T7"/>
    </row>
    <row r="8" spans="3:20" x14ac:dyDescent="0.25">
      <c r="C8" s="11" t="s">
        <v>3</v>
      </c>
      <c r="D8" s="10" t="s">
        <v>7</v>
      </c>
      <c r="H8" s="11" t="s">
        <v>98</v>
      </c>
      <c r="I8" s="136" t="s">
        <v>99</v>
      </c>
      <c r="N8"/>
      <c r="O8"/>
      <c r="P8"/>
      <c r="Q8"/>
      <c r="R8"/>
      <c r="S8"/>
      <c r="T8"/>
    </row>
    <row r="9" spans="3:20" x14ac:dyDescent="0.25">
      <c r="C9" s="11" t="s">
        <v>4</v>
      </c>
      <c r="D9" s="139">
        <v>46093</v>
      </c>
      <c r="N9"/>
      <c r="O9"/>
      <c r="P9"/>
      <c r="Q9"/>
      <c r="R9"/>
      <c r="S9"/>
      <c r="T9"/>
    </row>
    <row r="10" spans="3:20" x14ac:dyDescent="0.25">
      <c r="C10" s="11" t="s">
        <v>5</v>
      </c>
      <c r="D10" s="141">
        <v>153.5</v>
      </c>
      <c r="N10"/>
      <c r="O10"/>
      <c r="P10"/>
      <c r="Q10"/>
      <c r="R10"/>
      <c r="S10"/>
      <c r="T10"/>
    </row>
    <row r="11" spans="3:20" x14ac:dyDescent="0.25">
      <c r="N11"/>
      <c r="O11"/>
      <c r="P11"/>
      <c r="Q11"/>
      <c r="R11"/>
      <c r="S11"/>
      <c r="T11"/>
    </row>
    <row r="12" spans="3:20" x14ac:dyDescent="0.25">
      <c r="C12" s="6" t="s">
        <v>8</v>
      </c>
      <c r="D12" s="7"/>
      <c r="E12" s="7"/>
      <c r="F12" s="7"/>
      <c r="G12" s="7"/>
      <c r="H12" s="7"/>
      <c r="I12" s="7"/>
      <c r="J12" s="7"/>
      <c r="K12" s="7"/>
      <c r="L12" s="7"/>
      <c r="M12" s="8"/>
      <c r="N12"/>
      <c r="O12"/>
      <c r="P12"/>
      <c r="Q12"/>
      <c r="R12"/>
      <c r="S12"/>
      <c r="T12"/>
    </row>
    <row r="13" spans="3:20" x14ac:dyDescent="0.25">
      <c r="N13"/>
      <c r="O13"/>
      <c r="P13"/>
      <c r="Q13"/>
      <c r="R13"/>
      <c r="S13"/>
      <c r="T13"/>
    </row>
    <row r="14" spans="3:20" x14ac:dyDescent="0.25">
      <c r="D14" s="13"/>
      <c r="E14" s="159"/>
      <c r="F14" s="159"/>
      <c r="G14"/>
      <c r="K14" s="5"/>
      <c r="L14" s="5"/>
      <c r="M14"/>
      <c r="N14"/>
      <c r="O14"/>
      <c r="P14"/>
    </row>
    <row r="15" spans="3:20" x14ac:dyDescent="0.25">
      <c r="C15" s="12" t="s">
        <v>9</v>
      </c>
      <c r="D15" s="15" t="s">
        <v>424</v>
      </c>
      <c r="E15" s="15" t="s">
        <v>425</v>
      </c>
      <c r="F15" s="15" t="s">
        <v>426</v>
      </c>
      <c r="J15" s="12" t="s">
        <v>428</v>
      </c>
      <c r="K15" s="13" t="s">
        <v>399</v>
      </c>
      <c r="L15" s="162" t="s">
        <v>10</v>
      </c>
      <c r="M15"/>
      <c r="N15"/>
      <c r="O15"/>
      <c r="P15"/>
    </row>
    <row r="16" spans="3:20" x14ac:dyDescent="0.25">
      <c r="C16" s="1" t="s">
        <v>427</v>
      </c>
      <c r="D16" s="133">
        <f ca="1">(Valuation!Q15*FSM!R32+DCF!N60)/DCF!S60</f>
        <v>366.68190308278753</v>
      </c>
      <c r="E16" s="133">
        <f ca="1">F16-D16</f>
        <v>115.43889616431665</v>
      </c>
      <c r="F16" s="133">
        <f ca="1">(Valuation!Q14*FSM!R32+DCF!N60)/DCF!S60</f>
        <v>482.12079924710417</v>
      </c>
      <c r="J16" s="1" t="s">
        <v>11</v>
      </c>
      <c r="K16" s="133">
        <f ca="1">(Valuation!Q15*FSM!R32+DCF!N60)/DCF!S60</f>
        <v>366.68190308278753</v>
      </c>
      <c r="L16" s="42">
        <v>0.3</v>
      </c>
    </row>
    <row r="17" spans="3:12" x14ac:dyDescent="0.25">
      <c r="C17" s="1" t="s">
        <v>422</v>
      </c>
      <c r="D17" s="133">
        <f>DCF!E79</f>
        <v>76.147045647526753</v>
      </c>
      <c r="E17" s="133">
        <f t="shared" ref="E17:E18" si="0">F17-D17</f>
        <v>24.919788793027053</v>
      </c>
      <c r="F17" s="133">
        <f>DCF!J79</f>
        <v>101.06683444055381</v>
      </c>
      <c r="J17" s="1" t="s">
        <v>420</v>
      </c>
      <c r="K17" s="133">
        <f ca="1">DCF!D69</f>
        <v>88.873238836647815</v>
      </c>
      <c r="L17" s="42">
        <v>0.35</v>
      </c>
    </row>
    <row r="18" spans="3:12" x14ac:dyDescent="0.25">
      <c r="C18" s="1" t="s">
        <v>423</v>
      </c>
      <c r="D18" s="133">
        <f>DCF!E90</f>
        <v>185.56646065796284</v>
      </c>
      <c r="E18" s="133">
        <f t="shared" si="0"/>
        <v>53.886225320581588</v>
      </c>
      <c r="F18" s="133">
        <f>DCF!J90</f>
        <v>239.45268597854442</v>
      </c>
      <c r="J18" s="1" t="s">
        <v>421</v>
      </c>
      <c r="K18" s="133">
        <f ca="1">DCF!E69</f>
        <v>217.34229373112427</v>
      </c>
      <c r="L18" s="42">
        <v>0.35</v>
      </c>
    </row>
    <row r="19" spans="3:12" x14ac:dyDescent="0.25">
      <c r="F19" s="11"/>
      <c r="J19" s="11" t="s">
        <v>12</v>
      </c>
      <c r="K19" s="206">
        <f ca="1">SUMPRODUCT(K16:K18,L16:L18)</f>
        <v>217.18000732355648</v>
      </c>
    </row>
    <row r="20" spans="3:12" x14ac:dyDescent="0.25">
      <c r="F20" s="11"/>
      <c r="J20" s="11" t="s">
        <v>13</v>
      </c>
      <c r="K20" s="205">
        <f ca="1">K19/D10-1</f>
        <v>0.41485346790590549</v>
      </c>
      <c r="L20" s="11"/>
    </row>
  </sheetData>
  <dataValidations count="1">
    <dataValidation type="list" allowBlank="1" showInputMessage="1" showErrorMessage="1" sqref="I8" xr:uid="{F50F5B89-DA11-481D-9F7D-565368F36895}">
      <formula1>"Bull, Base, Bear"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7F7F-E6C9-4AF8-A5C8-15A972D6E745}">
  <dimension ref="B2:T106"/>
  <sheetViews>
    <sheetView showGridLines="0" zoomScale="88" zoomScaleNormal="130" workbookViewId="0">
      <selection activeCell="T50" sqref="T50"/>
    </sheetView>
  </sheetViews>
  <sheetFormatPr defaultRowHeight="15" x14ac:dyDescent="0.25"/>
  <cols>
    <col min="1" max="2" width="2.140625" style="1" customWidth="1"/>
    <col min="3" max="3" width="55.42578125" style="1" customWidth="1"/>
    <col min="4" max="4" width="13.28515625" style="1" customWidth="1"/>
    <col min="5" max="18" width="15.28515625" style="1" customWidth="1"/>
    <col min="19" max="19" width="2.5703125" style="1" customWidth="1"/>
    <col min="20" max="16384" width="9.140625" style="1"/>
  </cols>
  <sheetData>
    <row r="2" spans="2:19" ht="17.25" x14ac:dyDescent="0.3">
      <c r="C2" s="20" t="s">
        <v>86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/>
    </row>
    <row r="3" spans="2:19" x14ac:dyDescent="0.25">
      <c r="C3" s="25" t="s">
        <v>15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  <c r="S3"/>
    </row>
    <row r="4" spans="2:19" x14ac:dyDescent="0.25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19" x14ac:dyDescent="0.25">
      <c r="B5" s="1" t="s">
        <v>33</v>
      </c>
      <c r="C5" s="11" t="s">
        <v>17</v>
      </c>
      <c r="D5" s="26">
        <v>2021</v>
      </c>
      <c r="E5" s="26">
        <v>2022</v>
      </c>
      <c r="F5" s="26">
        <v>2023</v>
      </c>
      <c r="G5" s="26">
        <v>2024</v>
      </c>
      <c r="H5" s="26">
        <v>2025</v>
      </c>
      <c r="I5" s="27">
        <v>2026</v>
      </c>
      <c r="J5" s="27">
        <v>2027</v>
      </c>
      <c r="K5" s="27">
        <v>2028</v>
      </c>
      <c r="L5" s="27">
        <v>2029</v>
      </c>
      <c r="M5" s="27">
        <v>2030</v>
      </c>
      <c r="N5" s="27">
        <v>2031</v>
      </c>
      <c r="O5" s="27">
        <v>2032</v>
      </c>
      <c r="P5" s="27">
        <v>2033</v>
      </c>
      <c r="Q5" s="27">
        <v>2034</v>
      </c>
      <c r="R5" s="27">
        <v>2035</v>
      </c>
    </row>
    <row r="6" spans="2:19" x14ac:dyDescent="0.25">
      <c r="C6" s="12" t="s">
        <v>18</v>
      </c>
      <c r="D6" s="28">
        <v>44561</v>
      </c>
      <c r="E6" s="28">
        <f>EOMONTH(D6,12)</f>
        <v>44926</v>
      </c>
      <c r="F6" s="28">
        <f>EOMONTH(E6,12)</f>
        <v>45291</v>
      </c>
      <c r="G6" s="28">
        <f t="shared" ref="G6:R6" si="0">EOMONTH(F6,12)</f>
        <v>45657</v>
      </c>
      <c r="H6" s="28">
        <f t="shared" si="0"/>
        <v>46022</v>
      </c>
      <c r="I6" s="28">
        <f t="shared" si="0"/>
        <v>46387</v>
      </c>
      <c r="J6" s="28">
        <f t="shared" si="0"/>
        <v>46752</v>
      </c>
      <c r="K6" s="28">
        <f t="shared" si="0"/>
        <v>47118</v>
      </c>
      <c r="L6" s="28">
        <f t="shared" si="0"/>
        <v>47483</v>
      </c>
      <c r="M6" s="28">
        <f t="shared" si="0"/>
        <v>47848</v>
      </c>
      <c r="N6" s="28">
        <f t="shared" si="0"/>
        <v>48213</v>
      </c>
      <c r="O6" s="28">
        <f t="shared" si="0"/>
        <v>48579</v>
      </c>
      <c r="P6" s="28">
        <f t="shared" si="0"/>
        <v>48944</v>
      </c>
      <c r="Q6" s="28">
        <f t="shared" si="0"/>
        <v>49309</v>
      </c>
      <c r="R6" s="28">
        <f t="shared" si="0"/>
        <v>49674</v>
      </c>
    </row>
    <row r="8" spans="2:19" x14ac:dyDescent="0.25">
      <c r="C8" s="1" t="s">
        <v>87</v>
      </c>
      <c r="D8" s="34"/>
      <c r="E8" s="36">
        <v>335100</v>
      </c>
      <c r="F8" s="36">
        <v>457100</v>
      </c>
      <c r="G8" s="36">
        <v>702300</v>
      </c>
      <c r="H8" s="36">
        <v>1500000</v>
      </c>
      <c r="I8" s="34">
        <f ca="1">H8*(1+I9)</f>
        <v>2518167.5507437345</v>
      </c>
      <c r="J8" s="34">
        <f t="shared" ref="J8:R8" ca="1" si="1">I8*(1+J9)</f>
        <v>4101536.8315419462</v>
      </c>
      <c r="K8" s="34">
        <f t="shared" ca="1" si="1"/>
        <v>6475417.6217586044</v>
      </c>
      <c r="L8" s="34">
        <f t="shared" ca="1" si="1"/>
        <v>9899478.3784873318</v>
      </c>
      <c r="M8" s="34">
        <f t="shared" ca="1" si="1"/>
        <v>14639134.472299868</v>
      </c>
      <c r="N8" s="34">
        <f t="shared" ca="1" si="1"/>
        <v>20916078.648004718</v>
      </c>
      <c r="O8" s="34">
        <f t="shared" ca="1" si="1"/>
        <v>28838636.765738159</v>
      </c>
      <c r="P8" s="34">
        <f t="shared" ca="1" si="1"/>
        <v>38320156.672769688</v>
      </c>
      <c r="Q8" s="34">
        <f t="shared" ca="1" si="1"/>
        <v>49002987.379415207</v>
      </c>
      <c r="R8" s="34">
        <f t="shared" ca="1" si="1"/>
        <v>60213810.818161905</v>
      </c>
    </row>
    <row r="9" spans="2:19" x14ac:dyDescent="0.25">
      <c r="C9" s="1" t="s">
        <v>88</v>
      </c>
      <c r="E9" s="42"/>
      <c r="F9" s="42">
        <f>F8/E8-1</f>
        <v>0.36407042673828705</v>
      </c>
      <c r="G9" s="42">
        <f>G8/F8-1</f>
        <v>0.53642528987092541</v>
      </c>
      <c r="H9" s="42">
        <f>H8/G8-1</f>
        <v>1.1358393848782571</v>
      </c>
      <c r="I9" s="59">
        <f ca="1">I28</f>
        <v>0.67877836716248974</v>
      </c>
      <c r="J9" s="59">
        <f t="shared" ref="J9:R9" ca="1" si="2">J28</f>
        <v>0.62877836716248969</v>
      </c>
      <c r="K9" s="59">
        <f t="shared" ca="1" si="2"/>
        <v>0.57877836716248965</v>
      </c>
      <c r="L9" s="59">
        <f t="shared" ca="1" si="2"/>
        <v>0.5287783671624896</v>
      </c>
      <c r="M9" s="59">
        <f t="shared" ca="1" si="2"/>
        <v>0.47877836716248962</v>
      </c>
      <c r="N9" s="59">
        <f t="shared" ca="1" si="2"/>
        <v>0.42877836716248963</v>
      </c>
      <c r="O9" s="59">
        <f t="shared" ca="1" si="2"/>
        <v>0.37877836716248964</v>
      </c>
      <c r="P9" s="59">
        <f t="shared" ca="1" si="2"/>
        <v>0.32877836716248965</v>
      </c>
      <c r="Q9" s="59">
        <f t="shared" ca="1" si="2"/>
        <v>0.27877836716248966</v>
      </c>
      <c r="R9" s="59">
        <f t="shared" ca="1" si="2"/>
        <v>0.22877836716248967</v>
      </c>
    </row>
    <row r="11" spans="2:19" x14ac:dyDescent="0.25">
      <c r="C11" s="1" t="s">
        <v>89</v>
      </c>
      <c r="D11" s="34"/>
      <c r="E11" s="36">
        <v>498995</v>
      </c>
      <c r="F11" s="36">
        <v>545697</v>
      </c>
      <c r="G11" s="36">
        <v>593602</v>
      </c>
      <c r="H11" s="36">
        <v>573159</v>
      </c>
      <c r="I11" s="34">
        <f ca="1">H11*(1+I12)</f>
        <v>601232.33395631751</v>
      </c>
      <c r="J11" s="34">
        <f t="shared" ref="J11:R11" ca="1" si="3">I11*(1+J12)</f>
        <v>627674.53844059084</v>
      </c>
      <c r="K11" s="34">
        <f t="shared" ca="1" si="3"/>
        <v>652141.29866897338</v>
      </c>
      <c r="L11" s="34">
        <f t="shared" ca="1" si="3"/>
        <v>674301.06697965786</v>
      </c>
      <c r="M11" s="34">
        <f t="shared" ca="1" si="3"/>
        <v>693842.3191198865</v>
      </c>
      <c r="N11" s="34">
        <f t="shared" ca="1" si="3"/>
        <v>710480.66536075086</v>
      </c>
      <c r="O11" s="34">
        <f t="shared" ca="1" si="3"/>
        <v>723965.59599579975</v>
      </c>
      <c r="P11" s="34">
        <f t="shared" ca="1" si="3"/>
        <v>734086.6427786944</v>
      </c>
      <c r="Q11" s="34">
        <f t="shared" ca="1" si="3"/>
        <v>740678.7486900778</v>
      </c>
      <c r="R11" s="34">
        <f t="shared" ca="1" si="3"/>
        <v>743626.6580396709</v>
      </c>
    </row>
    <row r="12" spans="2:19" x14ac:dyDescent="0.25">
      <c r="C12" s="1" t="s">
        <v>90</v>
      </c>
      <c r="E12" s="42"/>
      <c r="F12" s="42">
        <f>F11/E11-1</f>
        <v>9.3592120161524628E-2</v>
      </c>
      <c r="G12" s="42">
        <f>G11/F11-1</f>
        <v>8.7786812095356881E-2</v>
      </c>
      <c r="H12" s="42">
        <f>H11/G11-1</f>
        <v>-3.4438900138476614E-2</v>
      </c>
      <c r="I12" s="59">
        <f ca="1">I29</f>
        <v>4.8980010706134967E-2</v>
      </c>
      <c r="J12" s="59">
        <f t="shared" ref="J12:R12" ca="1" si="4">J29</f>
        <v>4.398001070613497E-2</v>
      </c>
      <c r="K12" s="59">
        <f t="shared" ca="1" si="4"/>
        <v>3.8980010706134972E-2</v>
      </c>
      <c r="L12" s="59">
        <f t="shared" ca="1" si="4"/>
        <v>3.3980010706134975E-2</v>
      </c>
      <c r="M12" s="59">
        <f t="shared" ca="1" si="4"/>
        <v>2.8980010706134974E-2</v>
      </c>
      <c r="N12" s="59">
        <f t="shared" ca="1" si="4"/>
        <v>2.3980010706134973E-2</v>
      </c>
      <c r="O12" s="59">
        <f t="shared" ca="1" si="4"/>
        <v>1.8980010706134972E-2</v>
      </c>
      <c r="P12" s="59">
        <f t="shared" ca="1" si="4"/>
        <v>1.3980010706134971E-2</v>
      </c>
      <c r="Q12" s="59">
        <f t="shared" ca="1" si="4"/>
        <v>8.98001070613497E-3</v>
      </c>
      <c r="R12" s="59">
        <f t="shared" ca="1" si="4"/>
        <v>3.9800107061349699E-3</v>
      </c>
    </row>
    <row r="14" spans="2:19" x14ac:dyDescent="0.25">
      <c r="C14" s="1" t="s">
        <v>91</v>
      </c>
      <c r="D14" s="34"/>
      <c r="E14" s="36">
        <v>826300</v>
      </c>
      <c r="F14" s="36">
        <v>921200</v>
      </c>
      <c r="G14" s="36">
        <v>1200000</v>
      </c>
      <c r="H14" s="36">
        <v>1900000</v>
      </c>
      <c r="I14" s="34">
        <f ca="1">H14*(1+I15)</f>
        <v>2533859.8744601426</v>
      </c>
      <c r="J14" s="34">
        <f t="shared" ref="J14:R14" ca="1" si="5">I14*(1+J15)</f>
        <v>3303166.2371341796</v>
      </c>
      <c r="K14" s="34">
        <f t="shared" ca="1" si="5"/>
        <v>4206947.071532893</v>
      </c>
      <c r="L14" s="34">
        <f t="shared" ca="1" si="5"/>
        <v>5231803.3838435132</v>
      </c>
      <c r="M14" s="34">
        <f t="shared" ca="1" si="5"/>
        <v>6349371.312562922</v>
      </c>
      <c r="N14" s="34">
        <f t="shared" ca="1" si="5"/>
        <v>7515182.3015110958</v>
      </c>
      <c r="O14" s="34">
        <f t="shared" ca="1" si="5"/>
        <v>8669592.9136501029</v>
      </c>
      <c r="P14" s="34">
        <f t="shared" ca="1" si="5"/>
        <v>9741245.2838187367</v>
      </c>
      <c r="Q14" s="34">
        <f t="shared" ca="1" si="5"/>
        <v>10653127.738168977</v>
      </c>
      <c r="R14" s="34">
        <f t="shared" ca="1" si="5"/>
        <v>11330778.096612643</v>
      </c>
    </row>
    <row r="15" spans="2:19" x14ac:dyDescent="0.25">
      <c r="C15" s="1" t="s">
        <v>92</v>
      </c>
      <c r="E15" s="42"/>
      <c r="F15" s="42">
        <f>F14/E14-1</f>
        <v>0.1148493283311145</v>
      </c>
      <c r="G15" s="42">
        <f>G14/F14-1</f>
        <v>0.30264871906209301</v>
      </c>
      <c r="H15" s="42">
        <f>H14/G14-1</f>
        <v>0.58333333333333326</v>
      </c>
      <c r="I15" s="59">
        <f ca="1">I30</f>
        <v>0.33361046024218027</v>
      </c>
      <c r="J15" s="59">
        <f t="shared" ref="J15:R15" ca="1" si="6">J30</f>
        <v>0.3036104602421803</v>
      </c>
      <c r="K15" s="59">
        <f t="shared" ca="1" si="6"/>
        <v>0.27361046024218028</v>
      </c>
      <c r="L15" s="59">
        <f t="shared" ca="1" si="6"/>
        <v>0.24361046024218028</v>
      </c>
      <c r="M15" s="59">
        <f t="shared" ca="1" si="6"/>
        <v>0.21361046024218028</v>
      </c>
      <c r="N15" s="59">
        <f t="shared" ca="1" si="6"/>
        <v>0.18361046024218028</v>
      </c>
      <c r="O15" s="59">
        <f t="shared" ca="1" si="6"/>
        <v>0.15361046024218028</v>
      </c>
      <c r="P15" s="59">
        <f t="shared" ca="1" si="6"/>
        <v>0.12361046024218028</v>
      </c>
      <c r="Q15" s="59">
        <f t="shared" ca="1" si="6"/>
        <v>9.3610460242180282E-2</v>
      </c>
      <c r="R15" s="59">
        <f t="shared" ca="1" si="6"/>
        <v>6.3610460242180283E-2</v>
      </c>
    </row>
    <row r="17" spans="2:18" x14ac:dyDescent="0.25">
      <c r="C17" s="1" t="s">
        <v>93</v>
      </c>
      <c r="D17" s="34"/>
      <c r="E17" s="36">
        <v>245476</v>
      </c>
      <c r="F17" s="36">
        <v>301015</v>
      </c>
      <c r="G17" s="36">
        <v>369605</v>
      </c>
      <c r="H17" s="36">
        <v>502287</v>
      </c>
      <c r="I17" s="34">
        <f ca="1">H17*(1+I18)</f>
        <v>638422.82704554277</v>
      </c>
      <c r="J17" s="34">
        <f t="shared" ref="J17:R17" ca="1" si="7">I17*(1+J18)</f>
        <v>798687.35675472103</v>
      </c>
      <c r="K17" s="34">
        <f t="shared" ca="1" si="7"/>
        <v>983209.65736798011</v>
      </c>
      <c r="L17" s="34">
        <f t="shared" ca="1" si="7"/>
        <v>1190698.3124889194</v>
      </c>
      <c r="M17" s="34">
        <f t="shared" ca="1" si="7"/>
        <v>1418159.7376693469</v>
      </c>
      <c r="N17" s="34">
        <f t="shared" ca="1" si="7"/>
        <v>1660710.3685931698</v>
      </c>
      <c r="O17" s="34">
        <f t="shared" ca="1" si="7"/>
        <v>1911530.7004799051</v>
      </c>
      <c r="P17" s="34">
        <f t="shared" ca="1" si="7"/>
        <v>2162002.3031682181</v>
      </c>
      <c r="Q17" s="34">
        <f t="shared" ca="1" si="7"/>
        <v>2402053.6432983452</v>
      </c>
      <c r="R17" s="34">
        <f t="shared" ca="1" si="7"/>
        <v>2620717.2799015786</v>
      </c>
    </row>
    <row r="18" spans="2:18" x14ac:dyDescent="0.25">
      <c r="C18" s="1" t="s">
        <v>94</v>
      </c>
      <c r="E18" s="42"/>
      <c r="F18" s="42">
        <f>F17/E17-1</f>
        <v>0.22625022405449013</v>
      </c>
      <c r="G18" s="42">
        <f>G17/F17-1</f>
        <v>0.22786239888377646</v>
      </c>
      <c r="H18" s="42">
        <f>H17/G17-1</f>
        <v>0.35898323886311068</v>
      </c>
      <c r="I18" s="59">
        <f ca="1">I31</f>
        <v>0.27103195393379242</v>
      </c>
      <c r="J18" s="59">
        <f t="shared" ref="J18:R18" ca="1" si="8">J31</f>
        <v>0.25103195393379241</v>
      </c>
      <c r="K18" s="59">
        <f t="shared" ca="1" si="8"/>
        <v>0.23103195393379242</v>
      </c>
      <c r="L18" s="59">
        <f t="shared" ca="1" si="8"/>
        <v>0.21103195393379243</v>
      </c>
      <c r="M18" s="59">
        <f t="shared" ca="1" si="8"/>
        <v>0.19103195393379244</v>
      </c>
      <c r="N18" s="59">
        <f t="shared" ca="1" si="8"/>
        <v>0.17103195393379245</v>
      </c>
      <c r="O18" s="59">
        <f t="shared" ca="1" si="8"/>
        <v>0.15103195393379246</v>
      </c>
      <c r="P18" s="59">
        <f t="shared" ca="1" si="8"/>
        <v>0.13103195393379247</v>
      </c>
      <c r="Q18" s="59">
        <f t="shared" ca="1" si="8"/>
        <v>0.11103195393379246</v>
      </c>
      <c r="R18" s="59">
        <f t="shared" ca="1" si="8"/>
        <v>9.1031953933792459E-2</v>
      </c>
    </row>
    <row r="20" spans="2:18" x14ac:dyDescent="0.25">
      <c r="C20" s="11" t="s">
        <v>95</v>
      </c>
      <c r="D20" s="56">
        <v>1541889</v>
      </c>
      <c r="E20" s="57">
        <f>SUM(E8,E11,E14,E17)</f>
        <v>1905871</v>
      </c>
      <c r="F20" s="57">
        <f t="shared" ref="F20:R20" si="9">SUM(F8,F11,F14,F17)</f>
        <v>2225012</v>
      </c>
      <c r="G20" s="57">
        <f t="shared" si="9"/>
        <v>2865507</v>
      </c>
      <c r="H20" s="57">
        <f t="shared" si="9"/>
        <v>4475446</v>
      </c>
      <c r="I20" s="57">
        <f t="shared" ca="1" si="9"/>
        <v>6291682.5862057377</v>
      </c>
      <c r="J20" s="57">
        <f t="shared" ca="1" si="9"/>
        <v>8831064.9638714362</v>
      </c>
      <c r="K20" s="57">
        <f t="shared" ca="1" si="9"/>
        <v>12317715.64932845</v>
      </c>
      <c r="L20" s="57">
        <f t="shared" ca="1" si="9"/>
        <v>16996281.141799424</v>
      </c>
      <c r="M20" s="57">
        <f t="shared" ca="1" si="9"/>
        <v>23100507.841652028</v>
      </c>
      <c r="N20" s="57">
        <f t="shared" ca="1" si="9"/>
        <v>30802451.98346974</v>
      </c>
      <c r="O20" s="57">
        <f t="shared" ca="1" si="9"/>
        <v>40143725.975863963</v>
      </c>
      <c r="P20" s="57">
        <f t="shared" ca="1" si="9"/>
        <v>50957490.902535334</v>
      </c>
      <c r="Q20" s="57">
        <f t="shared" ca="1" si="9"/>
        <v>62798847.509572603</v>
      </c>
      <c r="R20" s="57">
        <f t="shared" ca="1" si="9"/>
        <v>74908932.852715805</v>
      </c>
    </row>
    <row r="21" spans="2:18" x14ac:dyDescent="0.25">
      <c r="C21" s="1" t="s">
        <v>96</v>
      </c>
      <c r="E21" s="42">
        <f t="shared" ref="E21:R21" si="10">E20/D20-1</f>
        <v>0.23606238840798532</v>
      </c>
      <c r="F21" s="42">
        <f t="shared" si="10"/>
        <v>0.16745152216493131</v>
      </c>
      <c r="G21" s="42">
        <f t="shared" si="10"/>
        <v>0.2878613688375613</v>
      </c>
      <c r="H21" s="42">
        <f t="shared" si="10"/>
        <v>0.56183390932215493</v>
      </c>
      <c r="I21" s="42">
        <f t="shared" ca="1" si="10"/>
        <v>0.40582247807385841</v>
      </c>
      <c r="J21" s="42">
        <f t="shared" ca="1" si="10"/>
        <v>0.40360942289637958</v>
      </c>
      <c r="K21" s="42">
        <f t="shared" ca="1" si="10"/>
        <v>0.39481655946606309</v>
      </c>
      <c r="L21" s="42">
        <f t="shared" ca="1" si="10"/>
        <v>0.37982411882726375</v>
      </c>
      <c r="M21" s="42">
        <f t="shared" ca="1" si="10"/>
        <v>0.35915072532192416</v>
      </c>
      <c r="N21" s="42">
        <f t="shared" ca="1" si="10"/>
        <v>0.33341016546530211</v>
      </c>
      <c r="O21" s="42">
        <f t="shared" ca="1" si="10"/>
        <v>0.30326397383582493</v>
      </c>
      <c r="P21" s="42">
        <f t="shared" ca="1" si="10"/>
        <v>0.2693762141853262</v>
      </c>
      <c r="Q21" s="42">
        <f t="shared" ca="1" si="10"/>
        <v>0.23237715196154052</v>
      </c>
      <c r="R21" s="42">
        <f t="shared" ca="1" si="10"/>
        <v>0.19283929281181833</v>
      </c>
    </row>
    <row r="22" spans="2:18" x14ac:dyDescent="0.25">
      <c r="E22" s="42"/>
      <c r="F22" s="42"/>
      <c r="G22" s="42"/>
      <c r="H22" s="42"/>
      <c r="I22" s="42"/>
      <c r="J22" s="42"/>
      <c r="K22" s="42"/>
      <c r="L22" s="42"/>
      <c r="M22" s="42"/>
    </row>
    <row r="24" spans="2:18" x14ac:dyDescent="0.25">
      <c r="B24" s="1" t="s">
        <v>33</v>
      </c>
      <c r="C24" s="6" t="s">
        <v>97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</row>
    <row r="25" spans="2:18" x14ac:dyDescent="0.25">
      <c r="C25" s="11"/>
      <c r="D25" s="26"/>
      <c r="E25" s="26"/>
      <c r="F25" s="26"/>
      <c r="G25" s="26"/>
      <c r="H25" s="41" t="s">
        <v>100</v>
      </c>
      <c r="I25" s="27">
        <v>2026</v>
      </c>
      <c r="J25" s="27">
        <v>2027</v>
      </c>
      <c r="K25" s="27">
        <v>2028</v>
      </c>
      <c r="L25" s="27">
        <v>2029</v>
      </c>
      <c r="M25" s="27">
        <v>2030</v>
      </c>
      <c r="N25" s="27">
        <v>2031</v>
      </c>
      <c r="O25" s="27">
        <v>2032</v>
      </c>
      <c r="P25" s="27">
        <v>2033</v>
      </c>
      <c r="Q25" s="27">
        <v>2034</v>
      </c>
      <c r="R25" s="27">
        <v>2035</v>
      </c>
    </row>
    <row r="26" spans="2:18" x14ac:dyDescent="0.25">
      <c r="C26" s="11" t="s">
        <v>98</v>
      </c>
      <c r="D26" s="137" t="str">
        <f>Dashboard!I8</f>
        <v>Base</v>
      </c>
      <c r="H26" s="43" t="s">
        <v>101</v>
      </c>
      <c r="I26" s="28">
        <f>I6</f>
        <v>46387</v>
      </c>
      <c r="J26" s="28">
        <f t="shared" ref="J26:R26" si="11">EOMONTH(I26,12)</f>
        <v>46752</v>
      </c>
      <c r="K26" s="28">
        <f t="shared" si="11"/>
        <v>47118</v>
      </c>
      <c r="L26" s="28">
        <f t="shared" si="11"/>
        <v>47483</v>
      </c>
      <c r="M26" s="28">
        <f t="shared" si="11"/>
        <v>47848</v>
      </c>
      <c r="N26" s="28">
        <f t="shared" si="11"/>
        <v>48213</v>
      </c>
      <c r="O26" s="28">
        <f t="shared" si="11"/>
        <v>48579</v>
      </c>
      <c r="P26" s="28">
        <f t="shared" si="11"/>
        <v>48944</v>
      </c>
      <c r="Q26" s="28">
        <f t="shared" si="11"/>
        <v>49309</v>
      </c>
      <c r="R26" s="28">
        <f t="shared" si="11"/>
        <v>49674</v>
      </c>
    </row>
    <row r="27" spans="2:18" x14ac:dyDescent="0.25">
      <c r="H27" s="44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2:18" x14ac:dyDescent="0.25">
      <c r="C28" s="1" t="s">
        <v>88</v>
      </c>
      <c r="H28" s="52" t="str">
        <f ca="1">OFFSET(H$39,MATCH($C28,$C$39:$C$82,0)+MATCH($D$26,$C$40:$C$42,0)-1,0)</f>
        <v>NM</v>
      </c>
      <c r="I28" s="46">
        <f ca="1">OFFSET(I$39,MATCH($C28,$C$39:$C$82,0)+MATCH($D$26,$C$40:$C$42,0)-1,0)</f>
        <v>0.67877836716248974</v>
      </c>
      <c r="J28" s="46">
        <f t="shared" ref="J28:R37" ca="1" si="12">OFFSET(J$39,MATCH($C28,$C$39:$C$82,0)+MATCH($D$26,$C$40:$C$42,0)-1,0)</f>
        <v>0.62877836716248969</v>
      </c>
      <c r="K28" s="46">
        <f t="shared" ca="1" si="12"/>
        <v>0.57877836716248965</v>
      </c>
      <c r="L28" s="46">
        <f t="shared" ca="1" si="12"/>
        <v>0.5287783671624896</v>
      </c>
      <c r="M28" s="46">
        <f t="shared" ca="1" si="12"/>
        <v>0.47877836716248962</v>
      </c>
      <c r="N28" s="46">
        <f t="shared" ca="1" si="12"/>
        <v>0.42877836716248963</v>
      </c>
      <c r="O28" s="46">
        <f t="shared" ca="1" si="12"/>
        <v>0.37877836716248964</v>
      </c>
      <c r="P28" s="46">
        <f t="shared" ca="1" si="12"/>
        <v>0.32877836716248965</v>
      </c>
      <c r="Q28" s="46">
        <f t="shared" ca="1" si="12"/>
        <v>0.27877836716248966</v>
      </c>
      <c r="R28" s="46">
        <f t="shared" ca="1" si="12"/>
        <v>0.22877836716248967</v>
      </c>
    </row>
    <row r="29" spans="2:18" x14ac:dyDescent="0.25">
      <c r="C29" s="1" t="s">
        <v>90</v>
      </c>
      <c r="H29" s="52" t="str">
        <f t="shared" ref="H29:I37" ca="1" si="13">OFFSET(H$39,MATCH($C29,$C$39:$C$82,0)+MATCH($D$26,$C$40:$C$42,0)-1,0)</f>
        <v>NM</v>
      </c>
      <c r="I29" s="46">
        <f t="shared" ca="1" si="13"/>
        <v>4.8980010706134967E-2</v>
      </c>
      <c r="J29" s="46">
        <f t="shared" ca="1" si="12"/>
        <v>4.398001070613497E-2</v>
      </c>
      <c r="K29" s="46">
        <f t="shared" ca="1" si="12"/>
        <v>3.8980010706134972E-2</v>
      </c>
      <c r="L29" s="46">
        <f t="shared" ca="1" si="12"/>
        <v>3.3980010706134975E-2</v>
      </c>
      <c r="M29" s="46">
        <f t="shared" ca="1" si="12"/>
        <v>2.8980010706134974E-2</v>
      </c>
      <c r="N29" s="46">
        <f t="shared" ca="1" si="12"/>
        <v>2.3980010706134973E-2</v>
      </c>
      <c r="O29" s="46">
        <f t="shared" ca="1" si="12"/>
        <v>1.8980010706134972E-2</v>
      </c>
      <c r="P29" s="46">
        <f t="shared" ca="1" si="12"/>
        <v>1.3980010706134971E-2</v>
      </c>
      <c r="Q29" s="46">
        <f t="shared" ca="1" si="12"/>
        <v>8.98001070613497E-3</v>
      </c>
      <c r="R29" s="46">
        <f t="shared" ca="1" si="12"/>
        <v>3.9800107061349699E-3</v>
      </c>
    </row>
    <row r="30" spans="2:18" x14ac:dyDescent="0.25">
      <c r="C30" s="1" t="s">
        <v>92</v>
      </c>
      <c r="H30" s="52" t="str">
        <f t="shared" ca="1" si="13"/>
        <v>NM</v>
      </c>
      <c r="I30" s="46">
        <f t="shared" ca="1" si="13"/>
        <v>0.33361046024218027</v>
      </c>
      <c r="J30" s="46">
        <f t="shared" ca="1" si="12"/>
        <v>0.3036104602421803</v>
      </c>
      <c r="K30" s="46">
        <f t="shared" ca="1" si="12"/>
        <v>0.27361046024218028</v>
      </c>
      <c r="L30" s="46">
        <f t="shared" ca="1" si="12"/>
        <v>0.24361046024218028</v>
      </c>
      <c r="M30" s="46">
        <f t="shared" ca="1" si="12"/>
        <v>0.21361046024218028</v>
      </c>
      <c r="N30" s="46">
        <f t="shared" ca="1" si="12"/>
        <v>0.18361046024218028</v>
      </c>
      <c r="O30" s="46">
        <f t="shared" ca="1" si="12"/>
        <v>0.15361046024218028</v>
      </c>
      <c r="P30" s="46">
        <f t="shared" ca="1" si="12"/>
        <v>0.12361046024218028</v>
      </c>
      <c r="Q30" s="46">
        <f t="shared" ca="1" si="12"/>
        <v>9.3610460242180282E-2</v>
      </c>
      <c r="R30" s="46">
        <f t="shared" ca="1" si="12"/>
        <v>6.3610460242180283E-2</v>
      </c>
    </row>
    <row r="31" spans="2:18" x14ac:dyDescent="0.25">
      <c r="C31" s="1" t="s">
        <v>94</v>
      </c>
      <c r="H31" s="52" t="str">
        <f t="shared" ca="1" si="13"/>
        <v>NM</v>
      </c>
      <c r="I31" s="46">
        <f t="shared" ca="1" si="13"/>
        <v>0.27103195393379242</v>
      </c>
      <c r="J31" s="46">
        <f t="shared" ca="1" si="12"/>
        <v>0.25103195393379241</v>
      </c>
      <c r="K31" s="46">
        <f t="shared" ca="1" si="12"/>
        <v>0.23103195393379242</v>
      </c>
      <c r="L31" s="46">
        <f t="shared" ca="1" si="12"/>
        <v>0.21103195393379243</v>
      </c>
      <c r="M31" s="46">
        <f t="shared" ca="1" si="12"/>
        <v>0.19103195393379244</v>
      </c>
      <c r="N31" s="46">
        <f t="shared" ca="1" si="12"/>
        <v>0.17103195393379245</v>
      </c>
      <c r="O31" s="46">
        <f t="shared" ca="1" si="12"/>
        <v>0.15103195393379246</v>
      </c>
      <c r="P31" s="46">
        <f t="shared" ca="1" si="12"/>
        <v>0.13103195393379247</v>
      </c>
      <c r="Q31" s="46">
        <f t="shared" ca="1" si="12"/>
        <v>0.11103195393379246</v>
      </c>
      <c r="R31" s="46">
        <f t="shared" ca="1" si="12"/>
        <v>9.1031953933792459E-2</v>
      </c>
    </row>
    <row r="32" spans="2:18" x14ac:dyDescent="0.25">
      <c r="H32" s="52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3:20" x14ac:dyDescent="0.25">
      <c r="C33" s="1" t="s">
        <v>79</v>
      </c>
      <c r="H33" s="52" t="str">
        <f t="shared" ca="1" si="13"/>
        <v>NM</v>
      </c>
      <c r="I33" s="46">
        <f t="shared" ca="1" si="13"/>
        <v>0.82366517214150281</v>
      </c>
      <c r="J33" s="46">
        <f t="shared" ca="1" si="12"/>
        <v>0.82366517214150281</v>
      </c>
      <c r="K33" s="46">
        <f t="shared" ca="1" si="12"/>
        <v>0.82366517214150281</v>
      </c>
      <c r="L33" s="46">
        <f t="shared" ca="1" si="12"/>
        <v>0.82366517214150281</v>
      </c>
      <c r="M33" s="46">
        <f t="shared" ca="1" si="12"/>
        <v>0.82366517214150281</v>
      </c>
      <c r="N33" s="46">
        <f t="shared" ca="1" si="12"/>
        <v>0.82366517214150281</v>
      </c>
      <c r="O33" s="46">
        <f t="shared" ca="1" si="12"/>
        <v>0.82366517214150281</v>
      </c>
      <c r="P33" s="46">
        <f t="shared" ca="1" si="12"/>
        <v>0.82366517214150281</v>
      </c>
      <c r="Q33" s="46">
        <f t="shared" ca="1" si="12"/>
        <v>0.82366517214150281</v>
      </c>
      <c r="R33" s="46">
        <f t="shared" ca="1" si="12"/>
        <v>0.82366517214150281</v>
      </c>
    </row>
    <row r="34" spans="3:20" x14ac:dyDescent="0.25">
      <c r="C34" s="1" t="s">
        <v>80</v>
      </c>
      <c r="H34" s="52" t="str">
        <f t="shared" ca="1" si="13"/>
        <v>NM</v>
      </c>
      <c r="I34" s="46">
        <f t="shared" ca="1" si="13"/>
        <v>0.23614607348630728</v>
      </c>
      <c r="J34" s="46">
        <f t="shared" ca="1" si="12"/>
        <v>0.23114607348630728</v>
      </c>
      <c r="K34" s="46">
        <f t="shared" ca="1" si="12"/>
        <v>0.22614607348630728</v>
      </c>
      <c r="L34" s="46">
        <f t="shared" ca="1" si="12"/>
        <v>0.22114607348630727</v>
      </c>
      <c r="M34" s="46">
        <f t="shared" ca="1" si="12"/>
        <v>0.21614607348630727</v>
      </c>
      <c r="N34" s="46">
        <f t="shared" ca="1" si="12"/>
        <v>0.21114607348630726</v>
      </c>
      <c r="O34" s="46">
        <f t="shared" ca="1" si="12"/>
        <v>0.20614607348630726</v>
      </c>
      <c r="P34" s="46">
        <f t="shared" ca="1" si="12"/>
        <v>0.20114607348630725</v>
      </c>
      <c r="Q34" s="46">
        <f t="shared" ca="1" si="12"/>
        <v>0.19614607348630725</v>
      </c>
      <c r="R34" s="46">
        <f t="shared" ca="1" si="12"/>
        <v>0.19114607348630724</v>
      </c>
    </row>
    <row r="35" spans="3:20" x14ac:dyDescent="0.25">
      <c r="C35" s="1" t="s">
        <v>81</v>
      </c>
      <c r="H35" s="52" t="str">
        <f t="shared" ca="1" si="13"/>
        <v>NM</v>
      </c>
      <c r="I35" s="46">
        <f t="shared" ca="1" si="13"/>
        <v>0.12460813961334803</v>
      </c>
      <c r="J35" s="46">
        <f t="shared" ca="1" si="12"/>
        <v>0.11960813961334803</v>
      </c>
      <c r="K35" s="46">
        <f t="shared" ca="1" si="12"/>
        <v>0.11460813961334802</v>
      </c>
      <c r="L35" s="46">
        <f t="shared" ca="1" si="12"/>
        <v>0.10960813961334802</v>
      </c>
      <c r="M35" s="46">
        <f t="shared" ca="1" si="12"/>
        <v>0.10460813961334801</v>
      </c>
      <c r="N35" s="46">
        <f t="shared" ca="1" si="12"/>
        <v>9.960813961334801E-2</v>
      </c>
      <c r="O35" s="46">
        <f t="shared" ca="1" si="12"/>
        <v>9.4608139613348005E-2</v>
      </c>
      <c r="P35" s="46">
        <f t="shared" ca="1" si="12"/>
        <v>8.9608139613348001E-2</v>
      </c>
      <c r="Q35" s="46">
        <f t="shared" ca="1" si="12"/>
        <v>8.4608139613347996E-2</v>
      </c>
      <c r="R35" s="46">
        <f t="shared" ca="1" si="12"/>
        <v>7.9608139613347992E-2</v>
      </c>
    </row>
    <row r="36" spans="3:20" x14ac:dyDescent="0.25">
      <c r="C36" s="1" t="s">
        <v>82</v>
      </c>
      <c r="H36" s="52" t="str">
        <f t="shared" ca="1" si="13"/>
        <v>NM</v>
      </c>
      <c r="I36" s="46">
        <f t="shared" ca="1" si="13"/>
        <v>0.14696144250204338</v>
      </c>
      <c r="J36" s="46">
        <f t="shared" ca="1" si="12"/>
        <v>0.14196144250204337</v>
      </c>
      <c r="K36" s="46">
        <f t="shared" ca="1" si="12"/>
        <v>0.13696144250204337</v>
      </c>
      <c r="L36" s="46">
        <f t="shared" ca="1" si="12"/>
        <v>0.13196144250204336</v>
      </c>
      <c r="M36" s="46">
        <f t="shared" ca="1" si="12"/>
        <v>0.12696144250204336</v>
      </c>
      <c r="N36" s="46">
        <f t="shared" ca="1" si="12"/>
        <v>0.12196144250204335</v>
      </c>
      <c r="O36" s="46">
        <f t="shared" ca="1" si="12"/>
        <v>0.11696144250204335</v>
      </c>
      <c r="P36" s="46">
        <f t="shared" ca="1" si="12"/>
        <v>0.11196144250204335</v>
      </c>
      <c r="Q36" s="46">
        <f t="shared" ca="1" si="12"/>
        <v>0.10696144250204334</v>
      </c>
      <c r="R36" s="46">
        <f t="shared" ca="1" si="12"/>
        <v>0.10196144250204334</v>
      </c>
    </row>
    <row r="37" spans="3:20" x14ac:dyDescent="0.25">
      <c r="C37" s="1" t="s">
        <v>102</v>
      </c>
      <c r="H37" s="52" t="str">
        <f t="shared" ca="1" si="13"/>
        <v>NM</v>
      </c>
      <c r="I37" s="46">
        <f t="shared" ca="1" si="13"/>
        <v>3.1666117745583347E-3</v>
      </c>
      <c r="J37" s="46">
        <f t="shared" ca="1" si="12"/>
        <v>3.1666117745583347E-3</v>
      </c>
      <c r="K37" s="46">
        <f t="shared" ca="1" si="12"/>
        <v>3.1666117745583347E-3</v>
      </c>
      <c r="L37" s="46">
        <f t="shared" ca="1" si="12"/>
        <v>3.1666117745583347E-3</v>
      </c>
      <c r="M37" s="46">
        <f t="shared" ca="1" si="12"/>
        <v>3.1666117745583347E-3</v>
      </c>
      <c r="N37" s="46">
        <f t="shared" ca="1" si="12"/>
        <v>3.1666117745583347E-3</v>
      </c>
      <c r="O37" s="46">
        <f t="shared" ca="1" si="12"/>
        <v>3.1666117745583347E-3</v>
      </c>
      <c r="P37" s="46">
        <f t="shared" ca="1" si="12"/>
        <v>3.1666117745583347E-3</v>
      </c>
      <c r="Q37" s="46">
        <f t="shared" ca="1" si="12"/>
        <v>3.1666117745583347E-3</v>
      </c>
      <c r="R37" s="46">
        <f t="shared" ca="1" si="12"/>
        <v>3.1666117745583347E-3</v>
      </c>
    </row>
    <row r="38" spans="3:20" x14ac:dyDescent="0.25">
      <c r="H38" s="45"/>
      <c r="I38" s="42"/>
      <c r="J38" s="42"/>
      <c r="K38" s="42"/>
      <c r="L38" s="42"/>
      <c r="M38" s="42"/>
    </row>
    <row r="39" spans="3:20" x14ac:dyDescent="0.25">
      <c r="C39" s="1" t="s">
        <v>88</v>
      </c>
      <c r="H39" s="45"/>
      <c r="I39" s="42"/>
      <c r="J39" s="42"/>
      <c r="K39" s="42"/>
      <c r="L39" s="42"/>
      <c r="M39" s="42"/>
    </row>
    <row r="40" spans="3:20" x14ac:dyDescent="0.25">
      <c r="C40" s="1" t="s">
        <v>103</v>
      </c>
      <c r="H40" s="48">
        <v>0.02</v>
      </c>
      <c r="I40" s="42">
        <f t="shared" ref="I40:R40" si="14">I41+$H$40</f>
        <v>0.69877836716248976</v>
      </c>
      <c r="J40" s="42">
        <f t="shared" si="14"/>
        <v>0.64877836716248971</v>
      </c>
      <c r="K40" s="42">
        <f t="shared" si="14"/>
        <v>0.59877836716248967</v>
      </c>
      <c r="L40" s="42">
        <f t="shared" si="14"/>
        <v>0.54877836716248962</v>
      </c>
      <c r="M40" s="42">
        <f t="shared" si="14"/>
        <v>0.49877836716248963</v>
      </c>
      <c r="N40" s="42">
        <f t="shared" si="14"/>
        <v>0.44877836716248964</v>
      </c>
      <c r="O40" s="42">
        <f t="shared" si="14"/>
        <v>0.39877836716248966</v>
      </c>
      <c r="P40" s="42">
        <f t="shared" si="14"/>
        <v>0.34877836716248967</v>
      </c>
      <c r="Q40" s="42">
        <f t="shared" si="14"/>
        <v>0.29877836716248968</v>
      </c>
      <c r="R40" s="42">
        <f t="shared" si="14"/>
        <v>0.24877836716248966</v>
      </c>
      <c r="T40" s="14" t="s">
        <v>106</v>
      </c>
    </row>
    <row r="41" spans="3:20" x14ac:dyDescent="0.25">
      <c r="C41" s="1" t="s">
        <v>99</v>
      </c>
      <c r="H41" s="48" t="s">
        <v>105</v>
      </c>
      <c r="I41" s="42">
        <f>AVERAGE(F9:H9)</f>
        <v>0.67877836716248974</v>
      </c>
      <c r="J41" s="42">
        <f t="shared" ref="J41:R41" si="15">I41+$T$41</f>
        <v>0.62877836716248969</v>
      </c>
      <c r="K41" s="42">
        <f t="shared" si="15"/>
        <v>0.57877836716248965</v>
      </c>
      <c r="L41" s="42">
        <f t="shared" si="15"/>
        <v>0.5287783671624896</v>
      </c>
      <c r="M41" s="42">
        <f t="shared" si="15"/>
        <v>0.47877836716248962</v>
      </c>
      <c r="N41" s="42">
        <f t="shared" si="15"/>
        <v>0.42877836716248963</v>
      </c>
      <c r="O41" s="42">
        <f t="shared" si="15"/>
        <v>0.37877836716248964</v>
      </c>
      <c r="P41" s="42">
        <f t="shared" si="15"/>
        <v>0.32877836716248965</v>
      </c>
      <c r="Q41" s="42">
        <f t="shared" si="15"/>
        <v>0.27877836716248966</v>
      </c>
      <c r="R41" s="42">
        <f t="shared" si="15"/>
        <v>0.22877836716248967</v>
      </c>
      <c r="T41" s="190">
        <v>-0.05</v>
      </c>
    </row>
    <row r="42" spans="3:20" x14ac:dyDescent="0.25">
      <c r="C42" s="1" t="s">
        <v>104</v>
      </c>
      <c r="H42" s="48">
        <v>-0.02</v>
      </c>
      <c r="I42" s="42">
        <f t="shared" ref="I42:R42" si="16">I41+$H$42</f>
        <v>0.65877836716248972</v>
      </c>
      <c r="J42" s="42">
        <f t="shared" si="16"/>
        <v>0.60877836716248968</v>
      </c>
      <c r="K42" s="42">
        <f t="shared" si="16"/>
        <v>0.55877836716248963</v>
      </c>
      <c r="L42" s="42">
        <f t="shared" si="16"/>
        <v>0.50877836716248959</v>
      </c>
      <c r="M42" s="42">
        <f t="shared" si="16"/>
        <v>0.4587783671624896</v>
      </c>
      <c r="N42" s="42">
        <f t="shared" si="16"/>
        <v>0.40877836716248961</v>
      </c>
      <c r="O42" s="42">
        <f t="shared" si="16"/>
        <v>0.35877836716248962</v>
      </c>
      <c r="P42" s="42">
        <f t="shared" si="16"/>
        <v>0.30877836716248963</v>
      </c>
      <c r="Q42" s="42">
        <f t="shared" si="16"/>
        <v>0.25877836716248964</v>
      </c>
      <c r="R42" s="42">
        <f t="shared" si="16"/>
        <v>0.20877836716248968</v>
      </c>
    </row>
    <row r="43" spans="3:20" x14ac:dyDescent="0.25">
      <c r="H43" s="48"/>
      <c r="I43" s="42"/>
      <c r="J43" s="42"/>
      <c r="K43" s="42"/>
      <c r="L43" s="42"/>
      <c r="M43" s="42"/>
    </row>
    <row r="44" spans="3:20" x14ac:dyDescent="0.25">
      <c r="C44" s="1" t="s">
        <v>90</v>
      </c>
      <c r="H44" s="48"/>
      <c r="I44" s="42"/>
      <c r="J44" s="42"/>
      <c r="K44" s="42"/>
      <c r="L44" s="42"/>
      <c r="M44" s="42"/>
    </row>
    <row r="45" spans="3:20" x14ac:dyDescent="0.25">
      <c r="C45" s="1" t="s">
        <v>103</v>
      </c>
      <c r="H45" s="48">
        <v>0.01</v>
      </c>
      <c r="I45" s="42">
        <f t="shared" ref="I45:R45" si="17">I46+$H$45</f>
        <v>5.8980010706134969E-2</v>
      </c>
      <c r="J45" s="42">
        <f t="shared" si="17"/>
        <v>5.3980010706134972E-2</v>
      </c>
      <c r="K45" s="42">
        <f t="shared" si="17"/>
        <v>4.8980010706134974E-2</v>
      </c>
      <c r="L45" s="42">
        <f t="shared" si="17"/>
        <v>4.3980010706134977E-2</v>
      </c>
      <c r="M45" s="42">
        <f t="shared" si="17"/>
        <v>3.8980010706134972E-2</v>
      </c>
      <c r="N45" s="42">
        <f t="shared" si="17"/>
        <v>3.3980010706134975E-2</v>
      </c>
      <c r="O45" s="42">
        <f t="shared" si="17"/>
        <v>2.898001070613497E-2</v>
      </c>
      <c r="P45" s="42">
        <f t="shared" si="17"/>
        <v>2.3980010706134973E-2</v>
      </c>
      <c r="Q45" s="42">
        <f t="shared" si="17"/>
        <v>1.8980010706134968E-2</v>
      </c>
      <c r="R45" s="42">
        <f t="shared" si="17"/>
        <v>1.3980010706134971E-2</v>
      </c>
      <c r="T45" s="14" t="s">
        <v>106</v>
      </c>
    </row>
    <row r="46" spans="3:20" x14ac:dyDescent="0.25">
      <c r="C46" s="1" t="s">
        <v>99</v>
      </c>
      <c r="H46" s="48" t="s">
        <v>105</v>
      </c>
      <c r="I46" s="42">
        <f>AVERAGE(F12:H12)</f>
        <v>4.8980010706134967E-2</v>
      </c>
      <c r="J46" s="42">
        <f>I46+$T$46</f>
        <v>4.398001070613497E-2</v>
      </c>
      <c r="K46" s="42">
        <f t="shared" ref="K46:R46" si="18">J46+$T$46</f>
        <v>3.8980010706134972E-2</v>
      </c>
      <c r="L46" s="42">
        <f t="shared" si="18"/>
        <v>3.3980010706134975E-2</v>
      </c>
      <c r="M46" s="42">
        <f t="shared" si="18"/>
        <v>2.8980010706134974E-2</v>
      </c>
      <c r="N46" s="42">
        <f t="shared" si="18"/>
        <v>2.3980010706134973E-2</v>
      </c>
      <c r="O46" s="42">
        <f t="shared" si="18"/>
        <v>1.8980010706134972E-2</v>
      </c>
      <c r="P46" s="42">
        <f t="shared" si="18"/>
        <v>1.3980010706134971E-2</v>
      </c>
      <c r="Q46" s="42">
        <f t="shared" si="18"/>
        <v>8.98001070613497E-3</v>
      </c>
      <c r="R46" s="42">
        <f t="shared" si="18"/>
        <v>3.9800107061349699E-3</v>
      </c>
      <c r="T46" s="190">
        <v>-5.0000000000000001E-3</v>
      </c>
    </row>
    <row r="47" spans="3:20" x14ac:dyDescent="0.25">
      <c r="C47" s="1" t="s">
        <v>104</v>
      </c>
      <c r="H47" s="48">
        <v>-0.01</v>
      </c>
      <c r="I47" s="42">
        <f t="shared" ref="I47:R47" si="19">I46+$H$47</f>
        <v>3.8980010706134965E-2</v>
      </c>
      <c r="J47" s="42">
        <f t="shared" si="19"/>
        <v>3.3980010706134968E-2</v>
      </c>
      <c r="K47" s="42">
        <f t="shared" si="19"/>
        <v>2.898001070613497E-2</v>
      </c>
      <c r="L47" s="42">
        <f t="shared" si="19"/>
        <v>2.3980010706134973E-2</v>
      </c>
      <c r="M47" s="42">
        <f t="shared" si="19"/>
        <v>1.8980010706134975E-2</v>
      </c>
      <c r="N47" s="42">
        <f t="shared" si="19"/>
        <v>1.3980010706134973E-2</v>
      </c>
      <c r="O47" s="42">
        <f t="shared" si="19"/>
        <v>8.9800107061349718E-3</v>
      </c>
      <c r="P47" s="42">
        <f t="shared" si="19"/>
        <v>3.9800107061349708E-3</v>
      </c>
      <c r="Q47" s="42">
        <f t="shared" si="19"/>
        <v>-1.0199892938650302E-3</v>
      </c>
      <c r="R47" s="42">
        <f t="shared" si="19"/>
        <v>-6.0199892938650303E-3</v>
      </c>
    </row>
    <row r="48" spans="3:20" x14ac:dyDescent="0.25">
      <c r="H48" s="48"/>
      <c r="I48" s="42"/>
      <c r="J48" s="42"/>
      <c r="K48" s="42"/>
      <c r="L48" s="42"/>
      <c r="M48" s="42"/>
    </row>
    <row r="49" spans="3:20" x14ac:dyDescent="0.25">
      <c r="C49" s="1" t="s">
        <v>92</v>
      </c>
      <c r="H49" s="48"/>
      <c r="I49" s="42"/>
      <c r="J49" s="42"/>
      <c r="K49" s="42"/>
      <c r="L49" s="42"/>
      <c r="M49" s="42"/>
    </row>
    <row r="50" spans="3:20" x14ac:dyDescent="0.25">
      <c r="C50" s="1" t="s">
        <v>103</v>
      </c>
      <c r="H50" s="48">
        <v>0.02</v>
      </c>
      <c r="I50" s="42">
        <f t="shared" ref="I50:R50" si="20">I51+$H$50</f>
        <v>0.35361046024218029</v>
      </c>
      <c r="J50" s="42">
        <f t="shared" si="20"/>
        <v>0.32361046024218032</v>
      </c>
      <c r="K50" s="42">
        <f t="shared" si="20"/>
        <v>0.29361046024218029</v>
      </c>
      <c r="L50" s="42">
        <f t="shared" si="20"/>
        <v>0.26361046024218027</v>
      </c>
      <c r="M50" s="42">
        <f t="shared" si="20"/>
        <v>0.23361046024218027</v>
      </c>
      <c r="N50" s="42">
        <f t="shared" si="20"/>
        <v>0.20361046024218027</v>
      </c>
      <c r="O50" s="42">
        <f t="shared" si="20"/>
        <v>0.17361046024218027</v>
      </c>
      <c r="P50" s="42">
        <f t="shared" si="20"/>
        <v>0.14361046024218027</v>
      </c>
      <c r="Q50" s="42">
        <f t="shared" si="20"/>
        <v>0.11361046024218029</v>
      </c>
      <c r="R50" s="42">
        <f t="shared" si="20"/>
        <v>8.3610460242180287E-2</v>
      </c>
      <c r="T50" s="14" t="s">
        <v>106</v>
      </c>
    </row>
    <row r="51" spans="3:20" x14ac:dyDescent="0.25">
      <c r="C51" s="1" t="s">
        <v>99</v>
      </c>
      <c r="H51" s="48" t="s">
        <v>105</v>
      </c>
      <c r="I51" s="42">
        <f>AVERAGE(F15:H15)</f>
        <v>0.33361046024218027</v>
      </c>
      <c r="J51" s="42">
        <f t="shared" ref="J51:R51" si="21">I51+$T$51</f>
        <v>0.3036104602421803</v>
      </c>
      <c r="K51" s="42">
        <f t="shared" si="21"/>
        <v>0.27361046024218028</v>
      </c>
      <c r="L51" s="42">
        <f t="shared" si="21"/>
        <v>0.24361046024218028</v>
      </c>
      <c r="M51" s="42">
        <f t="shared" si="21"/>
        <v>0.21361046024218028</v>
      </c>
      <c r="N51" s="42">
        <f t="shared" si="21"/>
        <v>0.18361046024218028</v>
      </c>
      <c r="O51" s="42">
        <f t="shared" si="21"/>
        <v>0.15361046024218028</v>
      </c>
      <c r="P51" s="42">
        <f t="shared" si="21"/>
        <v>0.12361046024218028</v>
      </c>
      <c r="Q51" s="42">
        <f t="shared" si="21"/>
        <v>9.3610460242180282E-2</v>
      </c>
      <c r="R51" s="42">
        <f t="shared" si="21"/>
        <v>6.3610460242180283E-2</v>
      </c>
      <c r="T51" s="190">
        <v>-0.03</v>
      </c>
    </row>
    <row r="52" spans="3:20" x14ac:dyDescent="0.25">
      <c r="C52" s="1" t="s">
        <v>104</v>
      </c>
      <c r="H52" s="48">
        <v>-0.02</v>
      </c>
      <c r="I52" s="42">
        <f t="shared" ref="I52:R52" si="22">I51+$H$52</f>
        <v>0.31361046024218026</v>
      </c>
      <c r="J52" s="42">
        <f t="shared" si="22"/>
        <v>0.28361046024218028</v>
      </c>
      <c r="K52" s="42">
        <f t="shared" si="22"/>
        <v>0.25361046024218026</v>
      </c>
      <c r="L52" s="42">
        <f t="shared" si="22"/>
        <v>0.22361046024218029</v>
      </c>
      <c r="M52" s="42">
        <f t="shared" si="22"/>
        <v>0.19361046024218029</v>
      </c>
      <c r="N52" s="42">
        <f t="shared" si="22"/>
        <v>0.16361046024218029</v>
      </c>
      <c r="O52" s="42">
        <f t="shared" si="22"/>
        <v>0.13361046024218029</v>
      </c>
      <c r="P52" s="42">
        <f t="shared" si="22"/>
        <v>0.10361046024218028</v>
      </c>
      <c r="Q52" s="42">
        <f t="shared" si="22"/>
        <v>7.3610460242180278E-2</v>
      </c>
      <c r="R52" s="42">
        <f t="shared" si="22"/>
        <v>4.3610460242180279E-2</v>
      </c>
    </row>
    <row r="53" spans="3:20" x14ac:dyDescent="0.25">
      <c r="H53" s="48"/>
      <c r="I53" s="42"/>
      <c r="J53" s="42"/>
      <c r="K53" s="42"/>
      <c r="L53" s="42"/>
      <c r="M53" s="42"/>
      <c r="N53" s="42"/>
      <c r="O53" s="42"/>
      <c r="P53" s="42"/>
      <c r="Q53" s="42"/>
      <c r="R53" s="42"/>
    </row>
    <row r="54" spans="3:20" x14ac:dyDescent="0.25">
      <c r="C54" s="1" t="s">
        <v>94</v>
      </c>
      <c r="H54" s="48"/>
      <c r="I54" s="42"/>
      <c r="J54" s="42"/>
      <c r="K54" s="42"/>
      <c r="L54" s="42"/>
      <c r="M54" s="42"/>
      <c r="N54" s="42"/>
      <c r="O54" s="42"/>
      <c r="P54" s="42"/>
      <c r="Q54" s="42"/>
      <c r="R54" s="42"/>
    </row>
    <row r="55" spans="3:20" x14ac:dyDescent="0.25">
      <c r="C55" s="1" t="s">
        <v>103</v>
      </c>
      <c r="H55" s="48">
        <v>0.02</v>
      </c>
      <c r="I55" s="42">
        <f t="shared" ref="I55:R55" si="23">I56+$H$55</f>
        <v>0.29103195393379244</v>
      </c>
      <c r="J55" s="42">
        <f t="shared" si="23"/>
        <v>0.27103195393379242</v>
      </c>
      <c r="K55" s="42">
        <f t="shared" si="23"/>
        <v>0.25103195393379241</v>
      </c>
      <c r="L55" s="42">
        <f t="shared" si="23"/>
        <v>0.23103195393379242</v>
      </c>
      <c r="M55" s="42">
        <f t="shared" si="23"/>
        <v>0.21103195393379243</v>
      </c>
      <c r="N55" s="42">
        <f t="shared" si="23"/>
        <v>0.19103195393379244</v>
      </c>
      <c r="O55" s="42">
        <f t="shared" si="23"/>
        <v>0.17103195393379245</v>
      </c>
      <c r="P55" s="42">
        <f t="shared" si="23"/>
        <v>0.15103195393379246</v>
      </c>
      <c r="Q55" s="42">
        <f t="shared" si="23"/>
        <v>0.13103195393379247</v>
      </c>
      <c r="R55" s="42">
        <f t="shared" si="23"/>
        <v>0.11103195393379246</v>
      </c>
      <c r="T55" s="14" t="s">
        <v>106</v>
      </c>
    </row>
    <row r="56" spans="3:20" x14ac:dyDescent="0.25">
      <c r="C56" s="1" t="s">
        <v>99</v>
      </c>
      <c r="H56" s="48" t="s">
        <v>105</v>
      </c>
      <c r="I56" s="42">
        <f>AVERAGE(F18:H18)</f>
        <v>0.27103195393379242</v>
      </c>
      <c r="J56" s="42">
        <f t="shared" ref="J56:R56" si="24">I56+$T$56</f>
        <v>0.25103195393379241</v>
      </c>
      <c r="K56" s="42">
        <f t="shared" si="24"/>
        <v>0.23103195393379242</v>
      </c>
      <c r="L56" s="42">
        <f t="shared" si="24"/>
        <v>0.21103195393379243</v>
      </c>
      <c r="M56" s="42">
        <f t="shared" si="24"/>
        <v>0.19103195393379244</v>
      </c>
      <c r="N56" s="42">
        <f t="shared" si="24"/>
        <v>0.17103195393379245</v>
      </c>
      <c r="O56" s="42">
        <f t="shared" si="24"/>
        <v>0.15103195393379246</v>
      </c>
      <c r="P56" s="42">
        <f t="shared" si="24"/>
        <v>0.13103195393379247</v>
      </c>
      <c r="Q56" s="42">
        <f t="shared" si="24"/>
        <v>0.11103195393379246</v>
      </c>
      <c r="R56" s="42">
        <f t="shared" si="24"/>
        <v>9.1031953933792459E-2</v>
      </c>
      <c r="T56" s="190">
        <v>-0.02</v>
      </c>
    </row>
    <row r="57" spans="3:20" x14ac:dyDescent="0.25">
      <c r="C57" s="1" t="s">
        <v>104</v>
      </c>
      <c r="H57" s="48">
        <v>-0.02</v>
      </c>
      <c r="I57" s="42">
        <f t="shared" ref="I57:R57" si="25">I56+$H$57</f>
        <v>0.25103195393379241</v>
      </c>
      <c r="J57" s="42">
        <f t="shared" si="25"/>
        <v>0.23103195393379242</v>
      </c>
      <c r="K57" s="42">
        <f t="shared" si="25"/>
        <v>0.21103195393379243</v>
      </c>
      <c r="L57" s="42">
        <f t="shared" si="25"/>
        <v>0.19103195393379244</v>
      </c>
      <c r="M57" s="42">
        <f t="shared" si="25"/>
        <v>0.17103195393379245</v>
      </c>
      <c r="N57" s="42">
        <f t="shared" si="25"/>
        <v>0.15103195393379246</v>
      </c>
      <c r="O57" s="42">
        <f t="shared" si="25"/>
        <v>0.13103195393379247</v>
      </c>
      <c r="P57" s="42">
        <f t="shared" si="25"/>
        <v>0.11103195393379246</v>
      </c>
      <c r="Q57" s="42">
        <f t="shared" si="25"/>
        <v>9.1031953933792459E-2</v>
      </c>
      <c r="R57" s="42">
        <f t="shared" si="25"/>
        <v>7.1031953933792455E-2</v>
      </c>
    </row>
    <row r="58" spans="3:20" x14ac:dyDescent="0.25">
      <c r="H58" s="48"/>
      <c r="I58" s="42"/>
      <c r="J58" s="42"/>
      <c r="K58" s="42"/>
      <c r="L58" s="42"/>
      <c r="M58" s="42"/>
      <c r="N58" s="42"/>
      <c r="O58" s="42"/>
      <c r="P58" s="42"/>
      <c r="Q58" s="42"/>
      <c r="R58" s="42"/>
    </row>
    <row r="59" spans="3:20" x14ac:dyDescent="0.25">
      <c r="C59" s="1" t="s">
        <v>79</v>
      </c>
      <c r="H59" s="48"/>
      <c r="I59" s="42"/>
      <c r="J59" s="42"/>
      <c r="K59" s="42"/>
      <c r="L59" s="42"/>
      <c r="M59" s="42"/>
      <c r="N59" s="42"/>
      <c r="O59" s="42"/>
      <c r="P59" s="42"/>
      <c r="Q59" s="42"/>
      <c r="R59" s="42"/>
    </row>
    <row r="60" spans="3:20" x14ac:dyDescent="0.25">
      <c r="C60" s="1" t="s">
        <v>103</v>
      </c>
      <c r="H60" s="48">
        <v>0.02</v>
      </c>
      <c r="I60" s="42">
        <f t="shared" ref="I60:R60" si="26">I61+$H$60</f>
        <v>0.84366517214150283</v>
      </c>
      <c r="J60" s="42">
        <f t="shared" si="26"/>
        <v>0.84366517214150283</v>
      </c>
      <c r="K60" s="42">
        <f t="shared" si="26"/>
        <v>0.84366517214150283</v>
      </c>
      <c r="L60" s="42">
        <f t="shared" si="26"/>
        <v>0.84366517214150283</v>
      </c>
      <c r="M60" s="42">
        <f t="shared" si="26"/>
        <v>0.84366517214150283</v>
      </c>
      <c r="N60" s="42">
        <f t="shared" si="26"/>
        <v>0.84366517214150283</v>
      </c>
      <c r="O60" s="42">
        <f t="shared" si="26"/>
        <v>0.84366517214150283</v>
      </c>
      <c r="P60" s="42">
        <f t="shared" si="26"/>
        <v>0.84366517214150283</v>
      </c>
      <c r="Q60" s="42">
        <f t="shared" si="26"/>
        <v>0.84366517214150283</v>
      </c>
      <c r="R60" s="42">
        <f t="shared" si="26"/>
        <v>0.84366517214150283</v>
      </c>
    </row>
    <row r="61" spans="3:20" x14ac:dyDescent="0.25">
      <c r="C61" s="1" t="s">
        <v>99</v>
      </c>
      <c r="H61" s="48" t="s">
        <v>105</v>
      </c>
      <c r="I61" s="47">
        <f>FSM!H38</f>
        <v>0.82366517214150281</v>
      </c>
      <c r="J61" s="59">
        <f t="shared" ref="J61:R61" si="27">I61</f>
        <v>0.82366517214150281</v>
      </c>
      <c r="K61" s="59">
        <f t="shared" si="27"/>
        <v>0.82366517214150281</v>
      </c>
      <c r="L61" s="59">
        <f t="shared" si="27"/>
        <v>0.82366517214150281</v>
      </c>
      <c r="M61" s="59">
        <f t="shared" si="27"/>
        <v>0.82366517214150281</v>
      </c>
      <c r="N61" s="59">
        <f t="shared" si="27"/>
        <v>0.82366517214150281</v>
      </c>
      <c r="O61" s="59">
        <f t="shared" si="27"/>
        <v>0.82366517214150281</v>
      </c>
      <c r="P61" s="59">
        <f t="shared" si="27"/>
        <v>0.82366517214150281</v>
      </c>
      <c r="Q61" s="59">
        <f t="shared" si="27"/>
        <v>0.82366517214150281</v>
      </c>
      <c r="R61" s="59">
        <f t="shared" si="27"/>
        <v>0.82366517214150281</v>
      </c>
    </row>
    <row r="62" spans="3:20" x14ac:dyDescent="0.25">
      <c r="C62" s="1" t="s">
        <v>104</v>
      </c>
      <c r="H62" s="48">
        <v>-0.02</v>
      </c>
      <c r="I62" s="42">
        <f t="shared" ref="I62:R62" si="28">I61+$H$62</f>
        <v>0.80366517214150279</v>
      </c>
      <c r="J62" s="42">
        <f t="shared" si="28"/>
        <v>0.80366517214150279</v>
      </c>
      <c r="K62" s="42">
        <f t="shared" si="28"/>
        <v>0.80366517214150279</v>
      </c>
      <c r="L62" s="42">
        <f t="shared" si="28"/>
        <v>0.80366517214150279</v>
      </c>
      <c r="M62" s="42">
        <f t="shared" si="28"/>
        <v>0.80366517214150279</v>
      </c>
      <c r="N62" s="42">
        <f t="shared" si="28"/>
        <v>0.80366517214150279</v>
      </c>
      <c r="O62" s="42">
        <f t="shared" si="28"/>
        <v>0.80366517214150279</v>
      </c>
      <c r="P62" s="42">
        <f t="shared" si="28"/>
        <v>0.80366517214150279</v>
      </c>
      <c r="Q62" s="42">
        <f t="shared" si="28"/>
        <v>0.80366517214150279</v>
      </c>
      <c r="R62" s="42">
        <f t="shared" si="28"/>
        <v>0.80366517214150279</v>
      </c>
    </row>
    <row r="63" spans="3:20" x14ac:dyDescent="0.25">
      <c r="H63" s="48"/>
      <c r="I63" s="42"/>
      <c r="J63" s="42"/>
      <c r="K63" s="42"/>
      <c r="L63" s="42"/>
      <c r="M63" s="42"/>
      <c r="N63" s="42"/>
      <c r="O63" s="42"/>
      <c r="P63" s="42"/>
      <c r="Q63" s="42"/>
      <c r="R63" s="42"/>
    </row>
    <row r="64" spans="3:20" x14ac:dyDescent="0.25">
      <c r="C64" s="1" t="s">
        <v>80</v>
      </c>
      <c r="H64" s="48"/>
      <c r="I64" s="42"/>
      <c r="J64" s="42"/>
      <c r="K64" s="42"/>
      <c r="L64" s="42"/>
      <c r="M64" s="42"/>
      <c r="N64" s="42"/>
      <c r="O64" s="42"/>
      <c r="P64" s="42"/>
      <c r="Q64" s="42"/>
      <c r="R64" s="42"/>
    </row>
    <row r="65" spans="3:20" x14ac:dyDescent="0.25">
      <c r="C65" s="1" t="s">
        <v>103</v>
      </c>
      <c r="H65" s="48">
        <v>0.02</v>
      </c>
      <c r="I65" s="42">
        <f t="shared" ref="I65:R65" si="29">I66+$H$65</f>
        <v>0.2561460734863073</v>
      </c>
      <c r="J65" s="42">
        <f t="shared" si="29"/>
        <v>0.2511460734863073</v>
      </c>
      <c r="K65" s="42">
        <f t="shared" si="29"/>
        <v>0.24614607348630727</v>
      </c>
      <c r="L65" s="42">
        <f t="shared" si="29"/>
        <v>0.24114607348630726</v>
      </c>
      <c r="M65" s="42">
        <f t="shared" si="29"/>
        <v>0.23614607348630726</v>
      </c>
      <c r="N65" s="42">
        <f t="shared" si="29"/>
        <v>0.23114607348630725</v>
      </c>
      <c r="O65" s="42">
        <f t="shared" si="29"/>
        <v>0.22614607348630725</v>
      </c>
      <c r="P65" s="42">
        <f t="shared" si="29"/>
        <v>0.22114607348630724</v>
      </c>
      <c r="Q65" s="42">
        <f t="shared" si="29"/>
        <v>0.21614607348630724</v>
      </c>
      <c r="R65" s="42">
        <f t="shared" si="29"/>
        <v>0.21114607348630723</v>
      </c>
      <c r="T65" s="14" t="s">
        <v>106</v>
      </c>
    </row>
    <row r="66" spans="3:20" x14ac:dyDescent="0.25">
      <c r="C66" s="1" t="s">
        <v>99</v>
      </c>
      <c r="H66" s="48" t="s">
        <v>105</v>
      </c>
      <c r="I66" s="47">
        <f>FSM!H40</f>
        <v>0.23614607348630728</v>
      </c>
      <c r="J66" s="59">
        <f>I66+$T$66</f>
        <v>0.23114607348630728</v>
      </c>
      <c r="K66" s="59">
        <f t="shared" ref="K66:R66" si="30">J66+$T$66</f>
        <v>0.22614607348630728</v>
      </c>
      <c r="L66" s="59">
        <f t="shared" si="30"/>
        <v>0.22114607348630727</v>
      </c>
      <c r="M66" s="59">
        <f t="shared" si="30"/>
        <v>0.21614607348630727</v>
      </c>
      <c r="N66" s="59">
        <f t="shared" si="30"/>
        <v>0.21114607348630726</v>
      </c>
      <c r="O66" s="59">
        <f t="shared" si="30"/>
        <v>0.20614607348630726</v>
      </c>
      <c r="P66" s="59">
        <f t="shared" si="30"/>
        <v>0.20114607348630725</v>
      </c>
      <c r="Q66" s="59">
        <f t="shared" si="30"/>
        <v>0.19614607348630725</v>
      </c>
      <c r="R66" s="59">
        <f t="shared" si="30"/>
        <v>0.19114607348630724</v>
      </c>
      <c r="T66" s="190">
        <v>-5.0000000000000001E-3</v>
      </c>
    </row>
    <row r="67" spans="3:20" x14ac:dyDescent="0.25">
      <c r="C67" s="1" t="s">
        <v>104</v>
      </c>
      <c r="H67" s="48">
        <v>-0.02</v>
      </c>
      <c r="I67" s="42">
        <f t="shared" ref="I67:R67" si="31">I66+$H$67</f>
        <v>0.21614607348630729</v>
      </c>
      <c r="J67" s="42">
        <f t="shared" si="31"/>
        <v>0.21114607348630729</v>
      </c>
      <c r="K67" s="42">
        <f t="shared" si="31"/>
        <v>0.20614607348630729</v>
      </c>
      <c r="L67" s="42">
        <f t="shared" si="31"/>
        <v>0.20114607348630728</v>
      </c>
      <c r="M67" s="42">
        <f t="shared" si="31"/>
        <v>0.19614607348630728</v>
      </c>
      <c r="N67" s="42">
        <f t="shared" si="31"/>
        <v>0.19114607348630727</v>
      </c>
      <c r="O67" s="42">
        <f t="shared" si="31"/>
        <v>0.18614607348630727</v>
      </c>
      <c r="P67" s="42">
        <f t="shared" si="31"/>
        <v>0.18114607348630726</v>
      </c>
      <c r="Q67" s="42">
        <f t="shared" si="31"/>
        <v>0.17614607348630726</v>
      </c>
      <c r="R67" s="42">
        <f t="shared" si="31"/>
        <v>0.17114607348630725</v>
      </c>
    </row>
    <row r="68" spans="3:20" x14ac:dyDescent="0.25">
      <c r="H68" s="48"/>
      <c r="I68" s="42"/>
      <c r="J68" s="42"/>
      <c r="K68" s="42"/>
      <c r="L68" s="42"/>
      <c r="M68" s="42"/>
      <c r="N68" s="42"/>
      <c r="O68" s="42"/>
      <c r="P68" s="42"/>
      <c r="Q68" s="42"/>
      <c r="R68" s="42"/>
    </row>
    <row r="69" spans="3:20" x14ac:dyDescent="0.25">
      <c r="C69" s="1" t="s">
        <v>81</v>
      </c>
      <c r="H69" s="48"/>
      <c r="I69" s="42"/>
      <c r="J69" s="42"/>
      <c r="K69" s="42"/>
      <c r="L69" s="42"/>
      <c r="M69" s="42"/>
      <c r="N69" s="42"/>
      <c r="O69" s="42"/>
      <c r="P69" s="42"/>
      <c r="Q69" s="42"/>
      <c r="R69" s="42"/>
    </row>
    <row r="70" spans="3:20" x14ac:dyDescent="0.25">
      <c r="C70" s="1" t="s">
        <v>103</v>
      </c>
      <c r="H70" s="48">
        <v>0.02</v>
      </c>
      <c r="I70" s="42">
        <f t="shared" ref="I70:R70" si="32">I71+$H$70</f>
        <v>0.14460813961334804</v>
      </c>
      <c r="J70" s="42">
        <f t="shared" si="32"/>
        <v>0.13960813961334803</v>
      </c>
      <c r="K70" s="42">
        <f t="shared" si="32"/>
        <v>0.13460813961334803</v>
      </c>
      <c r="L70" s="42">
        <f t="shared" si="32"/>
        <v>0.12960813961334802</v>
      </c>
      <c r="M70" s="42">
        <f t="shared" si="32"/>
        <v>0.12460813961334802</v>
      </c>
      <c r="N70" s="42">
        <f t="shared" si="32"/>
        <v>0.11960813961334801</v>
      </c>
      <c r="O70" s="42">
        <f t="shared" si="32"/>
        <v>0.11460813961334801</v>
      </c>
      <c r="P70" s="42">
        <f t="shared" si="32"/>
        <v>0.109608139613348</v>
      </c>
      <c r="Q70" s="42">
        <f t="shared" si="32"/>
        <v>0.104608139613348</v>
      </c>
      <c r="R70" s="42">
        <f t="shared" si="32"/>
        <v>9.9608139613347996E-2</v>
      </c>
      <c r="T70" s="14" t="s">
        <v>106</v>
      </c>
    </row>
    <row r="71" spans="3:20" x14ac:dyDescent="0.25">
      <c r="C71" s="1" t="s">
        <v>99</v>
      </c>
      <c r="H71" s="48" t="s">
        <v>105</v>
      </c>
      <c r="I71" s="47">
        <f>FSM!H41</f>
        <v>0.12460813961334803</v>
      </c>
      <c r="J71" s="59">
        <f>I71+$T$71</f>
        <v>0.11960813961334803</v>
      </c>
      <c r="K71" s="59">
        <f t="shared" ref="K71:R71" si="33">J71+$T$71</f>
        <v>0.11460813961334802</v>
      </c>
      <c r="L71" s="59">
        <f t="shared" si="33"/>
        <v>0.10960813961334802</v>
      </c>
      <c r="M71" s="59">
        <f t="shared" si="33"/>
        <v>0.10460813961334801</v>
      </c>
      <c r="N71" s="59">
        <f t="shared" si="33"/>
        <v>9.960813961334801E-2</v>
      </c>
      <c r="O71" s="59">
        <f t="shared" si="33"/>
        <v>9.4608139613348005E-2</v>
      </c>
      <c r="P71" s="59">
        <f t="shared" si="33"/>
        <v>8.9608139613348001E-2</v>
      </c>
      <c r="Q71" s="59">
        <f t="shared" si="33"/>
        <v>8.4608139613347996E-2</v>
      </c>
      <c r="R71" s="59">
        <f t="shared" si="33"/>
        <v>7.9608139613347992E-2</v>
      </c>
      <c r="T71" s="190">
        <v>-5.0000000000000001E-3</v>
      </c>
    </row>
    <row r="72" spans="3:20" x14ac:dyDescent="0.25">
      <c r="C72" s="1" t="s">
        <v>104</v>
      </c>
      <c r="H72" s="48">
        <v>-0.02</v>
      </c>
      <c r="I72" s="42">
        <f t="shared" ref="I72:R72" si="34">I71+$H$72</f>
        <v>0.10460813961334803</v>
      </c>
      <c r="J72" s="42">
        <f t="shared" si="34"/>
        <v>9.9608139613348023E-2</v>
      </c>
      <c r="K72" s="42">
        <f t="shared" si="34"/>
        <v>9.4608139613348019E-2</v>
      </c>
      <c r="L72" s="42">
        <f t="shared" si="34"/>
        <v>8.9608139613348015E-2</v>
      </c>
      <c r="M72" s="42">
        <f t="shared" si="34"/>
        <v>8.460813961334801E-2</v>
      </c>
      <c r="N72" s="42">
        <f t="shared" si="34"/>
        <v>7.9608139613348006E-2</v>
      </c>
      <c r="O72" s="42">
        <f t="shared" si="34"/>
        <v>7.4608139613348001E-2</v>
      </c>
      <c r="P72" s="42">
        <f t="shared" si="34"/>
        <v>6.9608139613347997E-2</v>
      </c>
      <c r="Q72" s="42">
        <f t="shared" si="34"/>
        <v>6.4608139613347992E-2</v>
      </c>
      <c r="R72" s="42">
        <f t="shared" si="34"/>
        <v>5.9608139613347988E-2</v>
      </c>
    </row>
    <row r="73" spans="3:20" x14ac:dyDescent="0.25">
      <c r="H73" s="48"/>
      <c r="I73" s="42"/>
      <c r="J73" s="42"/>
      <c r="K73" s="42"/>
      <c r="L73" s="42"/>
      <c r="M73" s="42"/>
      <c r="N73" s="42"/>
      <c r="O73" s="42"/>
      <c r="P73" s="42"/>
      <c r="Q73" s="42"/>
      <c r="R73" s="42"/>
    </row>
    <row r="74" spans="3:20" x14ac:dyDescent="0.25">
      <c r="C74" s="1" t="s">
        <v>82</v>
      </c>
      <c r="H74" s="48"/>
      <c r="I74" s="42"/>
      <c r="J74" s="42"/>
      <c r="K74" s="42"/>
      <c r="L74" s="42"/>
      <c r="M74" s="42"/>
      <c r="N74" s="42"/>
      <c r="O74" s="42"/>
      <c r="P74" s="42"/>
      <c r="Q74" s="42"/>
      <c r="R74" s="42"/>
    </row>
    <row r="75" spans="3:20" x14ac:dyDescent="0.25">
      <c r="C75" s="1" t="s">
        <v>103</v>
      </c>
      <c r="H75" s="48">
        <v>0.02</v>
      </c>
      <c r="I75" s="42">
        <f t="shared" ref="I75:R75" si="35">I76+$H$75</f>
        <v>0.16696144250204337</v>
      </c>
      <c r="J75" s="42">
        <f t="shared" si="35"/>
        <v>0.16196144250204336</v>
      </c>
      <c r="K75" s="42">
        <f t="shared" si="35"/>
        <v>0.15696144250204336</v>
      </c>
      <c r="L75" s="42">
        <f t="shared" si="35"/>
        <v>0.15196144250204335</v>
      </c>
      <c r="M75" s="42">
        <f t="shared" si="35"/>
        <v>0.14696144250204335</v>
      </c>
      <c r="N75" s="42">
        <f t="shared" si="35"/>
        <v>0.14196144250204334</v>
      </c>
      <c r="O75" s="42">
        <f t="shared" si="35"/>
        <v>0.13696144250204334</v>
      </c>
      <c r="P75" s="42">
        <f t="shared" si="35"/>
        <v>0.13196144250204334</v>
      </c>
      <c r="Q75" s="42">
        <f t="shared" si="35"/>
        <v>0.12696144250204333</v>
      </c>
      <c r="R75" s="42">
        <f t="shared" si="35"/>
        <v>0.12196144250204334</v>
      </c>
      <c r="T75" s="14" t="s">
        <v>106</v>
      </c>
    </row>
    <row r="76" spans="3:20" x14ac:dyDescent="0.25">
      <c r="C76" s="1" t="s">
        <v>99</v>
      </c>
      <c r="H76" s="48" t="s">
        <v>105</v>
      </c>
      <c r="I76" s="47">
        <f>FSM!H42</f>
        <v>0.14696144250204338</v>
      </c>
      <c r="J76" s="59">
        <f>I76+$T$76</f>
        <v>0.14196144250204337</v>
      </c>
      <c r="K76" s="59">
        <f t="shared" ref="K76:R76" si="36">J76+$T$76</f>
        <v>0.13696144250204337</v>
      </c>
      <c r="L76" s="59">
        <f t="shared" si="36"/>
        <v>0.13196144250204336</v>
      </c>
      <c r="M76" s="59">
        <f t="shared" si="36"/>
        <v>0.12696144250204336</v>
      </c>
      <c r="N76" s="59">
        <f t="shared" si="36"/>
        <v>0.12196144250204335</v>
      </c>
      <c r="O76" s="59">
        <f t="shared" si="36"/>
        <v>0.11696144250204335</v>
      </c>
      <c r="P76" s="59">
        <f t="shared" si="36"/>
        <v>0.11196144250204335</v>
      </c>
      <c r="Q76" s="59">
        <f t="shared" si="36"/>
        <v>0.10696144250204334</v>
      </c>
      <c r="R76" s="59">
        <f t="shared" si="36"/>
        <v>0.10196144250204334</v>
      </c>
      <c r="T76" s="190">
        <v>-5.0000000000000001E-3</v>
      </c>
    </row>
    <row r="77" spans="3:20" x14ac:dyDescent="0.25">
      <c r="C77" s="1" t="s">
        <v>104</v>
      </c>
      <c r="H77" s="48">
        <v>-0.02</v>
      </c>
      <c r="I77" s="42">
        <f t="shared" ref="I77:R77" si="37">I76+$H$77</f>
        <v>0.12696144250204339</v>
      </c>
      <c r="J77" s="42">
        <f t="shared" si="37"/>
        <v>0.12196144250204337</v>
      </c>
      <c r="K77" s="42">
        <f t="shared" si="37"/>
        <v>0.11696144250204336</v>
      </c>
      <c r="L77" s="42">
        <f t="shared" si="37"/>
        <v>0.11196144250204336</v>
      </c>
      <c r="M77" s="42">
        <f t="shared" si="37"/>
        <v>0.10696144250204336</v>
      </c>
      <c r="N77" s="42">
        <f t="shared" si="37"/>
        <v>0.10196144250204335</v>
      </c>
      <c r="O77" s="42">
        <f t="shared" si="37"/>
        <v>9.6961442502043346E-2</v>
      </c>
      <c r="P77" s="42">
        <f t="shared" si="37"/>
        <v>9.1961442502043342E-2</v>
      </c>
      <c r="Q77" s="42">
        <f t="shared" si="37"/>
        <v>8.6961442502043337E-2</v>
      </c>
      <c r="R77" s="42">
        <f t="shared" si="37"/>
        <v>8.1961442502043333E-2</v>
      </c>
    </row>
    <row r="78" spans="3:20" x14ac:dyDescent="0.25">
      <c r="H78" s="48"/>
      <c r="I78" s="42"/>
      <c r="J78" s="42"/>
      <c r="K78" s="42"/>
      <c r="L78" s="42"/>
      <c r="M78" s="42"/>
      <c r="N78" s="42"/>
      <c r="O78" s="42"/>
      <c r="P78" s="42"/>
      <c r="Q78" s="42"/>
      <c r="R78" s="42"/>
    </row>
    <row r="79" spans="3:20" x14ac:dyDescent="0.25">
      <c r="C79" s="1" t="s">
        <v>102</v>
      </c>
      <c r="H79" s="48"/>
      <c r="I79" s="42"/>
      <c r="J79" s="42"/>
      <c r="K79" s="42"/>
      <c r="L79" s="42"/>
      <c r="M79" s="42"/>
      <c r="N79" s="42"/>
      <c r="O79" s="42"/>
      <c r="P79" s="42"/>
      <c r="Q79" s="42"/>
      <c r="R79" s="42"/>
    </row>
    <row r="80" spans="3:20" x14ac:dyDescent="0.25">
      <c r="C80" s="1" t="s">
        <v>103</v>
      </c>
      <c r="H80" s="48">
        <v>0.02</v>
      </c>
      <c r="I80" s="42">
        <f t="shared" ref="I80:R80" si="38">I81+$H$80</f>
        <v>2.3166611774558334E-2</v>
      </c>
      <c r="J80" s="42">
        <f t="shared" si="38"/>
        <v>2.3166611774558334E-2</v>
      </c>
      <c r="K80" s="42">
        <f t="shared" si="38"/>
        <v>2.3166611774558334E-2</v>
      </c>
      <c r="L80" s="42">
        <f t="shared" si="38"/>
        <v>2.3166611774558334E-2</v>
      </c>
      <c r="M80" s="42">
        <f t="shared" si="38"/>
        <v>2.3166611774558334E-2</v>
      </c>
      <c r="N80" s="42">
        <f t="shared" si="38"/>
        <v>2.3166611774558334E-2</v>
      </c>
      <c r="O80" s="42">
        <f t="shared" si="38"/>
        <v>2.3166611774558334E-2</v>
      </c>
      <c r="P80" s="42">
        <f t="shared" si="38"/>
        <v>2.3166611774558334E-2</v>
      </c>
      <c r="Q80" s="42">
        <f t="shared" si="38"/>
        <v>2.3166611774558334E-2</v>
      </c>
      <c r="R80" s="42">
        <f t="shared" si="38"/>
        <v>2.3166611774558334E-2</v>
      </c>
    </row>
    <row r="81" spans="2:18" x14ac:dyDescent="0.25">
      <c r="C81" s="1" t="s">
        <v>99</v>
      </c>
      <c r="H81" s="48" t="s">
        <v>105</v>
      </c>
      <c r="I81" s="47">
        <f>FSM!H44</f>
        <v>3.1666117745583347E-3</v>
      </c>
      <c r="J81" s="59">
        <f t="shared" ref="J81:R81" si="39">I81</f>
        <v>3.1666117745583347E-3</v>
      </c>
      <c r="K81" s="59">
        <f t="shared" si="39"/>
        <v>3.1666117745583347E-3</v>
      </c>
      <c r="L81" s="59">
        <f t="shared" si="39"/>
        <v>3.1666117745583347E-3</v>
      </c>
      <c r="M81" s="59">
        <f t="shared" si="39"/>
        <v>3.1666117745583347E-3</v>
      </c>
      <c r="N81" s="59">
        <f t="shared" si="39"/>
        <v>3.1666117745583347E-3</v>
      </c>
      <c r="O81" s="59">
        <f t="shared" si="39"/>
        <v>3.1666117745583347E-3</v>
      </c>
      <c r="P81" s="59">
        <f t="shared" si="39"/>
        <v>3.1666117745583347E-3</v>
      </c>
      <c r="Q81" s="59">
        <f t="shared" si="39"/>
        <v>3.1666117745583347E-3</v>
      </c>
      <c r="R81" s="59">
        <f t="shared" si="39"/>
        <v>3.1666117745583347E-3</v>
      </c>
    </row>
    <row r="82" spans="2:18" x14ac:dyDescent="0.25">
      <c r="C82" s="1" t="s">
        <v>104</v>
      </c>
      <c r="H82" s="49">
        <v>-0.02</v>
      </c>
      <c r="I82" s="42">
        <f t="shared" ref="I82:R82" si="40">I81+$H$82</f>
        <v>-1.6833388225441667E-2</v>
      </c>
      <c r="J82" s="42">
        <f t="shared" si="40"/>
        <v>-1.6833388225441667E-2</v>
      </c>
      <c r="K82" s="42">
        <f t="shared" si="40"/>
        <v>-1.6833388225441667E-2</v>
      </c>
      <c r="L82" s="42">
        <f t="shared" si="40"/>
        <v>-1.6833388225441667E-2</v>
      </c>
      <c r="M82" s="42">
        <f t="shared" si="40"/>
        <v>-1.6833388225441667E-2</v>
      </c>
      <c r="N82" s="42">
        <f t="shared" si="40"/>
        <v>-1.6833388225441667E-2</v>
      </c>
      <c r="O82" s="42">
        <f t="shared" si="40"/>
        <v>-1.6833388225441667E-2</v>
      </c>
      <c r="P82" s="42">
        <f t="shared" si="40"/>
        <v>-1.6833388225441667E-2</v>
      </c>
      <c r="Q82" s="42">
        <f t="shared" si="40"/>
        <v>-1.6833388225441667E-2</v>
      </c>
      <c r="R82" s="42">
        <f t="shared" si="40"/>
        <v>-1.6833388225441667E-2</v>
      </c>
    </row>
    <row r="83" spans="2:18" x14ac:dyDescent="0.25">
      <c r="H83" s="51"/>
      <c r="I83" s="42"/>
      <c r="J83" s="42"/>
      <c r="K83" s="42"/>
      <c r="L83" s="42"/>
      <c r="M83" s="42"/>
      <c r="N83" s="42"/>
      <c r="O83" s="42"/>
      <c r="P83" s="42"/>
      <c r="Q83" s="42"/>
      <c r="R83" s="42"/>
    </row>
    <row r="85" spans="2:18" x14ac:dyDescent="0.25">
      <c r="B85" s="1" t="s">
        <v>33</v>
      </c>
      <c r="C85" s="6" t="s">
        <v>110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/>
    </row>
    <row r="87" spans="2:18" x14ac:dyDescent="0.25">
      <c r="C87" s="5" t="s">
        <v>111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9" spans="2:18" x14ac:dyDescent="0.25">
      <c r="D89" s="84" t="s">
        <v>88</v>
      </c>
      <c r="E89" s="84"/>
      <c r="F89" s="84"/>
      <c r="G89" s="84"/>
      <c r="H89" s="84"/>
      <c r="I89" s="84"/>
      <c r="J89" s="84"/>
      <c r="L89" s="84" t="s">
        <v>90</v>
      </c>
      <c r="M89" s="84"/>
      <c r="N89" s="84"/>
      <c r="O89" s="84"/>
      <c r="P89" s="84"/>
      <c r="Q89" s="84"/>
      <c r="R89" s="84"/>
    </row>
    <row r="90" spans="2:18" x14ac:dyDescent="0.25">
      <c r="D90" s="106">
        <f ca="1">FSM!I26</f>
        <v>1744867.7274144231</v>
      </c>
      <c r="E90" s="109">
        <v>0.55000000000000004</v>
      </c>
      <c r="F90" s="191">
        <f>E90+0.05</f>
        <v>0.60000000000000009</v>
      </c>
      <c r="G90" s="191">
        <f t="shared" ref="G90:J90" si="41">F90+0.05</f>
        <v>0.65000000000000013</v>
      </c>
      <c r="H90" s="191">
        <f t="shared" si="41"/>
        <v>0.70000000000000018</v>
      </c>
      <c r="I90" s="191">
        <f t="shared" si="41"/>
        <v>0.75000000000000022</v>
      </c>
      <c r="J90" s="191">
        <f t="shared" si="41"/>
        <v>0.80000000000000027</v>
      </c>
      <c r="L90" s="106">
        <f ca="1">FSM!I26</f>
        <v>1744867.7274144231</v>
      </c>
      <c r="M90" s="109">
        <v>3.5000000000000003E-2</v>
      </c>
      <c r="N90" s="191">
        <f>M90+0.005</f>
        <v>0.04</v>
      </c>
      <c r="O90" s="191">
        <f t="shared" ref="O90:R90" si="42">N90+0.005</f>
        <v>4.4999999999999998E-2</v>
      </c>
      <c r="P90" s="191">
        <f t="shared" si="42"/>
        <v>4.9999999999999996E-2</v>
      </c>
      <c r="Q90" s="191">
        <f t="shared" si="42"/>
        <v>5.4999999999999993E-2</v>
      </c>
      <c r="R90" s="191">
        <f t="shared" si="42"/>
        <v>5.9999999999999991E-2</v>
      </c>
    </row>
    <row r="91" spans="2:18" x14ac:dyDescent="0.25">
      <c r="D91" s="100">
        <v>0.78</v>
      </c>
      <c r="E91" s="34">
        <f t="dataTable" ref="E91:J96" dt2D="1" dtr="1" r1="I28" r2="I33" ca="1"/>
        <v>1490277.2566104266</v>
      </c>
      <c r="F91" s="34">
        <v>1506494.8748102882</v>
      </c>
      <c r="G91" s="34">
        <v>1522712.4930101493</v>
      </c>
      <c r="H91" s="34">
        <v>1538930.1112100114</v>
      </c>
      <c r="I91" s="34">
        <v>1555147.7294098728</v>
      </c>
      <c r="J91" s="34">
        <v>1571365.3476097346</v>
      </c>
      <c r="L91" s="100">
        <v>0.78</v>
      </c>
      <c r="M91" s="34">
        <f t="dataTable" ref="M91:R96" dt2D="1" dtr="1" r1="I29" r2="I33" ca="1"/>
        <v>1530314.1840625203</v>
      </c>
      <c r="N91" s="34">
        <v>1530933.8689845074</v>
      </c>
      <c r="O91" s="34">
        <v>1531553.5539064952</v>
      </c>
      <c r="P91" s="34">
        <v>1532173.238828483</v>
      </c>
      <c r="Q91" s="34">
        <v>1532792.9237504709</v>
      </c>
      <c r="R91" s="34">
        <v>1533412.6086724582</v>
      </c>
    </row>
    <row r="92" spans="2:18" x14ac:dyDescent="0.25">
      <c r="C92" s="105" t="s">
        <v>223</v>
      </c>
      <c r="D92" s="192">
        <f>D91+0.02</f>
        <v>0.8</v>
      </c>
      <c r="E92" s="34">
        <v>1584763.0240766462</v>
      </c>
      <c r="F92" s="34">
        <v>1602142.6354041398</v>
      </c>
      <c r="G92" s="34">
        <v>1619522.2467316324</v>
      </c>
      <c r="H92" s="34">
        <v>1636901.8580591264</v>
      </c>
      <c r="I92" s="34">
        <v>1654281.4693866197</v>
      </c>
      <c r="J92" s="34">
        <v>1671661.0807141131</v>
      </c>
      <c r="K92" s="105" t="s">
        <v>223</v>
      </c>
      <c r="L92" s="192">
        <f>L91+0.02</f>
        <v>0.8</v>
      </c>
      <c r="M92" s="34">
        <v>1627668.5993152077</v>
      </c>
      <c r="N92" s="34">
        <v>1628332.6846917986</v>
      </c>
      <c r="O92" s="34">
        <v>1628996.7700683894</v>
      </c>
      <c r="P92" s="34">
        <v>1629660.8554449789</v>
      </c>
      <c r="Q92" s="34">
        <v>1630324.9408215689</v>
      </c>
      <c r="R92" s="34">
        <v>1630989.0261981597</v>
      </c>
    </row>
    <row r="93" spans="2:18" x14ac:dyDescent="0.25">
      <c r="C93" s="105" t="s">
        <v>224</v>
      </c>
      <c r="D93" s="192">
        <f t="shared" ref="D93:D96" si="43">D92+0.02</f>
        <v>0.82000000000000006</v>
      </c>
      <c r="E93" s="34">
        <v>1679248.7915428653</v>
      </c>
      <c r="F93" s="34">
        <v>1697790.3959979909</v>
      </c>
      <c r="G93" s="34">
        <v>1716332.0004531159</v>
      </c>
      <c r="H93" s="34">
        <v>1734873.6049082417</v>
      </c>
      <c r="I93" s="34">
        <v>1753415.2093633665</v>
      </c>
      <c r="J93" s="34">
        <v>1771956.813818492</v>
      </c>
      <c r="K93" s="105" t="s">
        <v>224</v>
      </c>
      <c r="L93" s="192">
        <f t="shared" ref="L93:L96" si="44">L92+0.02</f>
        <v>0.82000000000000006</v>
      </c>
      <c r="M93" s="34">
        <v>1725023.014567896</v>
      </c>
      <c r="N93" s="34">
        <v>1725731.5003990894</v>
      </c>
      <c r="O93" s="34">
        <v>1726439.9862302828</v>
      </c>
      <c r="P93" s="34">
        <v>1727148.4720614755</v>
      </c>
      <c r="Q93" s="34">
        <v>1727856.9578926684</v>
      </c>
      <c r="R93" s="34">
        <v>1728565.4437238616</v>
      </c>
    </row>
    <row r="94" spans="2:18" x14ac:dyDescent="0.25">
      <c r="C94" s="105" t="s">
        <v>226</v>
      </c>
      <c r="D94" s="192">
        <f t="shared" si="43"/>
        <v>0.84000000000000008</v>
      </c>
      <c r="E94" s="34">
        <v>1773734.5590090852</v>
      </c>
      <c r="F94" s="34">
        <v>1793438.1565918422</v>
      </c>
      <c r="G94" s="34">
        <v>1813141.7541745992</v>
      </c>
      <c r="H94" s="34">
        <v>1832845.3517573564</v>
      </c>
      <c r="I94" s="34">
        <v>1852548.9493401134</v>
      </c>
      <c r="J94" s="34">
        <v>1872252.5469228704</v>
      </c>
      <c r="K94" s="105" t="s">
        <v>225</v>
      </c>
      <c r="L94" s="192">
        <f t="shared" si="44"/>
        <v>0.84000000000000008</v>
      </c>
      <c r="M94" s="34">
        <v>1822377.4298205841</v>
      </c>
      <c r="N94" s="34">
        <v>1823130.3161063804</v>
      </c>
      <c r="O94" s="34">
        <v>1823883.2023921763</v>
      </c>
      <c r="P94" s="34">
        <v>1824636.0886779716</v>
      </c>
      <c r="Q94" s="34">
        <v>1825388.9749637679</v>
      </c>
      <c r="R94" s="34">
        <v>1826141.8612495637</v>
      </c>
    </row>
    <row r="95" spans="2:18" x14ac:dyDescent="0.25">
      <c r="D95" s="192">
        <f t="shared" si="43"/>
        <v>0.8600000000000001</v>
      </c>
      <c r="E95" s="34">
        <v>1868220.3264753046</v>
      </c>
      <c r="F95" s="34">
        <v>1889085.9171856935</v>
      </c>
      <c r="G95" s="34">
        <v>1909951.5078960825</v>
      </c>
      <c r="H95" s="34">
        <v>1930817.0986064714</v>
      </c>
      <c r="I95" s="34">
        <v>1951682.6893168604</v>
      </c>
      <c r="J95" s="34">
        <v>1972548.2800272494</v>
      </c>
      <c r="L95" s="192">
        <f t="shared" si="44"/>
        <v>0.8600000000000001</v>
      </c>
      <c r="M95" s="34">
        <v>1919731.8450732729</v>
      </c>
      <c r="N95" s="34">
        <v>1920529.1318136712</v>
      </c>
      <c r="O95" s="34">
        <v>1921326.4185540695</v>
      </c>
      <c r="P95" s="34">
        <v>1922123.705294468</v>
      </c>
      <c r="Q95" s="34">
        <v>1922920.992034866</v>
      </c>
      <c r="R95" s="34">
        <v>1923718.2787752654</v>
      </c>
    </row>
    <row r="96" spans="2:18" x14ac:dyDescent="0.25">
      <c r="D96" s="192">
        <f t="shared" si="43"/>
        <v>0.88000000000000012</v>
      </c>
      <c r="E96" s="34">
        <v>1962706.0939415242</v>
      </c>
      <c r="F96" s="34">
        <v>1984733.6777795451</v>
      </c>
      <c r="G96" s="34">
        <v>2006761.2616175658</v>
      </c>
      <c r="H96" s="34">
        <v>2028788.8454555869</v>
      </c>
      <c r="I96" s="34">
        <v>2050816.4292936074</v>
      </c>
      <c r="J96" s="34">
        <v>2072844.0131316283</v>
      </c>
      <c r="L96" s="192">
        <f t="shared" si="44"/>
        <v>0.88000000000000012</v>
      </c>
      <c r="M96" s="34">
        <v>2017086.260325961</v>
      </c>
      <c r="N96" s="34">
        <v>2017927.947520962</v>
      </c>
      <c r="O96" s="34">
        <v>2018769.6347159636</v>
      </c>
      <c r="P96" s="34">
        <v>2019611.3219109641</v>
      </c>
      <c r="Q96" s="34">
        <v>2020453.009105965</v>
      </c>
      <c r="R96" s="34">
        <v>2021294.6963009671</v>
      </c>
    </row>
    <row r="99" spans="3:18" x14ac:dyDescent="0.25">
      <c r="D99" s="84" t="s">
        <v>92</v>
      </c>
      <c r="E99" s="84"/>
      <c r="F99" s="84"/>
      <c r="G99" s="84"/>
      <c r="H99" s="84"/>
      <c r="I99" s="84"/>
      <c r="J99" s="84"/>
      <c r="L99" s="108" t="s">
        <v>94</v>
      </c>
      <c r="M99" s="108"/>
      <c r="N99" s="108"/>
      <c r="O99" s="108"/>
      <c r="P99" s="108"/>
      <c r="Q99" s="108"/>
      <c r="R99" s="108"/>
    </row>
    <row r="100" spans="3:18" x14ac:dyDescent="0.25">
      <c r="D100" s="106">
        <f ca="1">FSM!I26</f>
        <v>1744867.7274144231</v>
      </c>
      <c r="E100" s="109">
        <v>0.25</v>
      </c>
      <c r="F100" s="191">
        <f>E100+0.04</f>
        <v>0.28999999999999998</v>
      </c>
      <c r="G100" s="191">
        <f t="shared" ref="G100:J100" si="45">F100+0.04</f>
        <v>0.32999999999999996</v>
      </c>
      <c r="H100" s="191">
        <f t="shared" si="45"/>
        <v>0.36999999999999994</v>
      </c>
      <c r="I100" s="191">
        <f t="shared" si="45"/>
        <v>0.40999999999999992</v>
      </c>
      <c r="J100" s="191">
        <f t="shared" si="45"/>
        <v>0.4499999999999999</v>
      </c>
      <c r="L100" s="106">
        <f ca="1">FSM!I26</f>
        <v>1744867.7274144231</v>
      </c>
      <c r="M100" s="109">
        <v>0.23</v>
      </c>
      <c r="N100" s="191">
        <f>M100+0.03</f>
        <v>0.26</v>
      </c>
      <c r="O100" s="191">
        <f t="shared" ref="O100:R100" si="46">N100+0.03</f>
        <v>0.29000000000000004</v>
      </c>
      <c r="P100" s="191">
        <f t="shared" si="46"/>
        <v>0.32000000000000006</v>
      </c>
      <c r="Q100" s="191">
        <f t="shared" si="46"/>
        <v>0.35000000000000009</v>
      </c>
      <c r="R100" s="191">
        <f t="shared" si="46"/>
        <v>0.38000000000000012</v>
      </c>
    </row>
    <row r="101" spans="3:18" x14ac:dyDescent="0.25">
      <c r="D101" s="100">
        <v>0.78</v>
      </c>
      <c r="E101" s="34">
        <f t="dataTable" ref="E101:J106" dt2D="1" dtr="1" r1="I30" r2="I33" ca="1"/>
        <v>1497695.7738809832</v>
      </c>
      <c r="F101" s="34">
        <v>1514129.626990176</v>
      </c>
      <c r="G101" s="34">
        <v>1530563.4800993693</v>
      </c>
      <c r="H101" s="34">
        <v>1546997.3332085623</v>
      </c>
      <c r="I101" s="34">
        <v>1563431.1863177554</v>
      </c>
      <c r="J101" s="34">
        <v>1579865.0394269484</v>
      </c>
      <c r="L101" s="100">
        <v>0.78</v>
      </c>
      <c r="M101" s="34">
        <f t="dataTable" ref="M101:R106" dt2D="1" dtr="1" r1="I31" r2="I33" ca="1"/>
        <v>1527590.262511102</v>
      </c>
      <c r="N101" s="34">
        <v>1530848.6220282034</v>
      </c>
      <c r="O101" s="34">
        <v>1534106.9815453056</v>
      </c>
      <c r="P101" s="34">
        <v>1537365.3410624065</v>
      </c>
      <c r="Q101" s="34">
        <v>1540623.7005795082</v>
      </c>
      <c r="R101" s="34">
        <v>1543882.0600966094</v>
      </c>
    </row>
    <row r="102" spans="3:18" x14ac:dyDescent="0.25">
      <c r="C102" s="105" t="s">
        <v>223</v>
      </c>
      <c r="D102" s="192">
        <f>D101+0.02</f>
        <v>0.8</v>
      </c>
      <c r="E102" s="34">
        <v>1592713.0784680904</v>
      </c>
      <c r="F102" s="34">
        <v>1610324.4179466167</v>
      </c>
      <c r="G102" s="34">
        <v>1627935.7574251436</v>
      </c>
      <c r="H102" s="34">
        <v>1645547.0969036699</v>
      </c>
      <c r="I102" s="34">
        <v>1663158.4363821968</v>
      </c>
      <c r="J102" s="34">
        <v>1680769.7758607231</v>
      </c>
      <c r="K102" s="105" t="s">
        <v>223</v>
      </c>
      <c r="L102" s="192">
        <f>L101+0.02</f>
        <v>0.8</v>
      </c>
      <c r="M102" s="34">
        <v>1624749.5086530149</v>
      </c>
      <c r="N102" s="34">
        <v>1628241.3297869563</v>
      </c>
      <c r="O102" s="34">
        <v>1631733.1509208977</v>
      </c>
      <c r="P102" s="34">
        <v>1635224.9720548387</v>
      </c>
      <c r="Q102" s="34">
        <v>1638716.7931887796</v>
      </c>
      <c r="R102" s="34">
        <v>1642208.6143227206</v>
      </c>
    </row>
    <row r="103" spans="3:18" x14ac:dyDescent="0.25">
      <c r="C103" s="105" t="s">
        <v>224</v>
      </c>
      <c r="D103" s="192">
        <f t="shared" ref="D103:D106" si="47">D102+0.02</f>
        <v>0.82000000000000006</v>
      </c>
      <c r="E103" s="34">
        <v>1687730.3830551975</v>
      </c>
      <c r="F103" s="34">
        <v>1706519.208903057</v>
      </c>
      <c r="G103" s="34">
        <v>1725308.0347509179</v>
      </c>
      <c r="H103" s="34">
        <v>1744096.8605987779</v>
      </c>
      <c r="I103" s="34">
        <v>1762885.6864466381</v>
      </c>
      <c r="J103" s="34">
        <v>1781674.5122944983</v>
      </c>
      <c r="K103" s="105" t="s">
        <v>224</v>
      </c>
      <c r="L103" s="192">
        <f t="shared" ref="L103:L106" si="48">L102+0.02</f>
        <v>0.82000000000000006</v>
      </c>
      <c r="M103" s="34">
        <v>1721908.7547949282</v>
      </c>
      <c r="N103" s="34">
        <v>1725634.0375457092</v>
      </c>
      <c r="O103" s="34">
        <v>1729359.3202964899</v>
      </c>
      <c r="P103" s="34">
        <v>1733084.6030472706</v>
      </c>
      <c r="Q103" s="34">
        <v>1736809.885798051</v>
      </c>
      <c r="R103" s="34">
        <v>1740535.168548831</v>
      </c>
    </row>
    <row r="104" spans="3:18" x14ac:dyDescent="0.25">
      <c r="C104" s="105" t="s">
        <v>226</v>
      </c>
      <c r="D104" s="192">
        <f t="shared" si="47"/>
        <v>0.84000000000000008</v>
      </c>
      <c r="E104" s="34">
        <v>1782747.6876423045</v>
      </c>
      <c r="F104" s="34">
        <v>1802713.9998594976</v>
      </c>
      <c r="G104" s="34">
        <v>1822680.312076692</v>
      </c>
      <c r="H104" s="34">
        <v>1842646.6242938857</v>
      </c>
      <c r="I104" s="34">
        <v>1862612.9365110798</v>
      </c>
      <c r="J104" s="34">
        <v>1882579.2487282734</v>
      </c>
      <c r="K104" s="105" t="s">
        <v>226</v>
      </c>
      <c r="L104" s="192">
        <f t="shared" si="48"/>
        <v>0.84000000000000008</v>
      </c>
      <c r="M104" s="34">
        <v>1819068.0009368416</v>
      </c>
      <c r="N104" s="34">
        <v>1823026.7453044618</v>
      </c>
      <c r="O104" s="34">
        <v>1826985.4896720815</v>
      </c>
      <c r="P104" s="34">
        <v>1830944.2340397015</v>
      </c>
      <c r="Q104" s="34">
        <v>1834902.978407322</v>
      </c>
      <c r="R104" s="34">
        <v>1838861.7227749419</v>
      </c>
    </row>
    <row r="105" spans="3:18" x14ac:dyDescent="0.25">
      <c r="D105" s="192">
        <f t="shared" si="47"/>
        <v>0.8600000000000001</v>
      </c>
      <c r="E105" s="34">
        <v>1877764.9922294114</v>
      </c>
      <c r="F105" s="34">
        <v>1898908.7908159378</v>
      </c>
      <c r="G105" s="34">
        <v>1920052.5894024661</v>
      </c>
      <c r="H105" s="34">
        <v>1941196.3879889932</v>
      </c>
      <c r="I105" s="34">
        <v>1962340.1865755208</v>
      </c>
      <c r="J105" s="34">
        <v>1983483.9851620486</v>
      </c>
      <c r="L105" s="192">
        <f t="shared" si="48"/>
        <v>0.8600000000000001</v>
      </c>
      <c r="M105" s="34">
        <v>1916227.2470787545</v>
      </c>
      <c r="N105" s="34">
        <v>1920419.4530632147</v>
      </c>
      <c r="O105" s="34">
        <v>1924611.6590476739</v>
      </c>
      <c r="P105" s="34">
        <v>1928803.8650321341</v>
      </c>
      <c r="Q105" s="34">
        <v>1932996.0710165936</v>
      </c>
      <c r="R105" s="34">
        <v>1937188.2770010531</v>
      </c>
    </row>
    <row r="106" spans="3:18" x14ac:dyDescent="0.25">
      <c r="D106" s="192">
        <f t="shared" si="47"/>
        <v>0.88000000000000012</v>
      </c>
      <c r="E106" s="34">
        <v>1972782.2968165183</v>
      </c>
      <c r="F106" s="34">
        <v>1995103.5817723786</v>
      </c>
      <c r="G106" s="34">
        <v>2017424.8667282402</v>
      </c>
      <c r="H106" s="34">
        <v>2039746.1516841012</v>
      </c>
      <c r="I106" s="34">
        <v>2062067.4366399625</v>
      </c>
      <c r="J106" s="34">
        <v>2084388.7215958238</v>
      </c>
      <c r="L106" s="192">
        <f t="shared" si="48"/>
        <v>0.88000000000000012</v>
      </c>
      <c r="M106" s="34">
        <v>2013386.4932206676</v>
      </c>
      <c r="N106" s="34">
        <v>2017812.1608219673</v>
      </c>
      <c r="O106" s="34">
        <v>2022237.8284232663</v>
      </c>
      <c r="P106" s="34">
        <v>2026663.4960245658</v>
      </c>
      <c r="Q106" s="34">
        <v>2031089.1636258652</v>
      </c>
      <c r="R106" s="34">
        <v>2035514.8312271638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8808-4F2A-4257-8974-3685243F9E61}">
  <dimension ref="B2:U274"/>
  <sheetViews>
    <sheetView showGridLines="0" zoomScale="76" workbookViewId="0">
      <selection activeCell="N197" sqref="N197"/>
    </sheetView>
  </sheetViews>
  <sheetFormatPr defaultRowHeight="15" x14ac:dyDescent="0.25"/>
  <cols>
    <col min="1" max="2" width="2.140625" style="1" customWidth="1"/>
    <col min="3" max="3" width="75.7109375" style="1" bestFit="1" customWidth="1"/>
    <col min="4" max="18" width="17.140625" style="1" customWidth="1"/>
    <col min="19" max="19" width="9.140625" style="1"/>
    <col min="20" max="21" width="10.85546875" style="1" bestFit="1" customWidth="1"/>
    <col min="22" max="16384" width="9.140625" style="1"/>
  </cols>
  <sheetData>
    <row r="2" spans="2:18" ht="17.25" x14ac:dyDescent="0.3">
      <c r="C2" s="20" t="s">
        <v>14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</row>
    <row r="3" spans="2:18" x14ac:dyDescent="0.25">
      <c r="C3" s="25" t="s">
        <v>15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</row>
    <row r="4" spans="2:18" x14ac:dyDescent="0.25">
      <c r="C4" s="29"/>
    </row>
    <row r="5" spans="2:18" x14ac:dyDescent="0.25">
      <c r="C5" s="29" t="s">
        <v>19</v>
      </c>
      <c r="D5" s="10">
        <v>1</v>
      </c>
    </row>
    <row r="6" spans="2:18" x14ac:dyDescent="0.25">
      <c r="C6" s="29" t="s">
        <v>20</v>
      </c>
      <c r="D6" s="139">
        <v>46022</v>
      </c>
    </row>
    <row r="7" spans="2:18" x14ac:dyDescent="0.25">
      <c r="C7" s="29" t="s">
        <v>175</v>
      </c>
      <c r="D7" s="146">
        <v>2391675.7110000001</v>
      </c>
    </row>
    <row r="9" spans="2:18" x14ac:dyDescent="0.25">
      <c r="B9" s="1" t="s">
        <v>33</v>
      </c>
      <c r="C9" s="6" t="s">
        <v>16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/>
    </row>
    <row r="10" spans="2:18" x14ac:dyDescent="0.25">
      <c r="C10" s="11" t="s">
        <v>17</v>
      </c>
      <c r="D10" s="26">
        <v>2021</v>
      </c>
      <c r="E10" s="26">
        <v>2022</v>
      </c>
      <c r="F10" s="26">
        <v>2023</v>
      </c>
      <c r="G10" s="26">
        <v>2024</v>
      </c>
      <c r="H10" s="26">
        <v>2025</v>
      </c>
      <c r="I10" s="27">
        <v>2026</v>
      </c>
      <c r="J10" s="27">
        <v>2027</v>
      </c>
      <c r="K10" s="27">
        <v>2028</v>
      </c>
      <c r="L10" s="27">
        <v>2029</v>
      </c>
      <c r="M10" s="27">
        <v>2030</v>
      </c>
      <c r="N10" s="27">
        <v>2031</v>
      </c>
      <c r="O10" s="27">
        <v>2032</v>
      </c>
      <c r="P10" s="27">
        <v>2033</v>
      </c>
      <c r="Q10" s="27">
        <v>2034</v>
      </c>
      <c r="R10" s="27">
        <v>2035</v>
      </c>
    </row>
    <row r="11" spans="2:18" x14ac:dyDescent="0.25">
      <c r="C11" s="12" t="s">
        <v>18</v>
      </c>
      <c r="D11" s="28">
        <v>44561</v>
      </c>
      <c r="E11" s="28">
        <f>EOMONTH(D11,12)</f>
        <v>44926</v>
      </c>
      <c r="F11" s="28">
        <f>EOMONTH(E11,12)</f>
        <v>45291</v>
      </c>
      <c r="G11" s="28">
        <f t="shared" ref="G11:R11" si="0">EOMONTH(F11,12)</f>
        <v>45657</v>
      </c>
      <c r="H11" s="28">
        <f t="shared" si="0"/>
        <v>46022</v>
      </c>
      <c r="I11" s="28">
        <f t="shared" si="0"/>
        <v>46387</v>
      </c>
      <c r="J11" s="28">
        <f t="shared" si="0"/>
        <v>46752</v>
      </c>
      <c r="K11" s="28">
        <f t="shared" si="0"/>
        <v>47118</v>
      </c>
      <c r="L11" s="28">
        <f t="shared" si="0"/>
        <v>47483</v>
      </c>
      <c r="M11" s="28">
        <f t="shared" si="0"/>
        <v>47848</v>
      </c>
      <c r="N11" s="28">
        <f t="shared" si="0"/>
        <v>48213</v>
      </c>
      <c r="O11" s="28">
        <f t="shared" si="0"/>
        <v>48579</v>
      </c>
      <c r="P11" s="28">
        <f t="shared" si="0"/>
        <v>48944</v>
      </c>
      <c r="Q11" s="28">
        <f t="shared" si="0"/>
        <v>49309</v>
      </c>
      <c r="R11" s="28">
        <f t="shared" si="0"/>
        <v>49674</v>
      </c>
    </row>
    <row r="13" spans="2:18" x14ac:dyDescent="0.25">
      <c r="C13" s="1" t="s">
        <v>21</v>
      </c>
      <c r="D13" s="36">
        <v>1541889</v>
      </c>
      <c r="E13" s="36">
        <v>1905871</v>
      </c>
      <c r="F13" s="36">
        <v>2225012</v>
      </c>
      <c r="G13" s="36">
        <v>2865507</v>
      </c>
      <c r="H13" s="36">
        <v>4475446</v>
      </c>
      <c r="I13" s="54">
        <f ca="1">'Rev Build'!I20</f>
        <v>6291682.5862057377</v>
      </c>
      <c r="J13" s="54">
        <f ca="1">'Rev Build'!J20</f>
        <v>8831064.9638714362</v>
      </c>
      <c r="K13" s="54">
        <f ca="1">'Rev Build'!K20</f>
        <v>12317715.64932845</v>
      </c>
      <c r="L13" s="54">
        <f ca="1">'Rev Build'!L20</f>
        <v>16996281.141799424</v>
      </c>
      <c r="M13" s="54">
        <f ca="1">'Rev Build'!M20</f>
        <v>23100507.841652028</v>
      </c>
      <c r="N13" s="54">
        <f ca="1">'Rev Build'!N20</f>
        <v>30802451.98346974</v>
      </c>
      <c r="O13" s="54">
        <f ca="1">'Rev Build'!O20</f>
        <v>40143725.975863963</v>
      </c>
      <c r="P13" s="54">
        <f ca="1">'Rev Build'!P20</f>
        <v>50957490.902535334</v>
      </c>
      <c r="Q13" s="54">
        <f ca="1">'Rev Build'!Q20</f>
        <v>62798847.509572603</v>
      </c>
      <c r="R13" s="54">
        <f ca="1">'Rev Build'!R20</f>
        <v>74908932.852715805</v>
      </c>
    </row>
    <row r="14" spans="2:18" x14ac:dyDescent="0.25">
      <c r="C14" s="5" t="s">
        <v>22</v>
      </c>
      <c r="D14" s="37">
        <v>-339404</v>
      </c>
      <c r="E14" s="37">
        <v>-408549</v>
      </c>
      <c r="F14" s="37">
        <v>-431105</v>
      </c>
      <c r="G14" s="37">
        <v>-565990</v>
      </c>
      <c r="H14" s="37">
        <v>-789177</v>
      </c>
      <c r="I14" s="35">
        <f ca="1">I15-I13</f>
        <v>-1109442.7657788936</v>
      </c>
      <c r="J14" s="35">
        <f t="shared" ref="J14:R14" ca="1" si="1">J15-J13</f>
        <v>-1557224.3202114757</v>
      </c>
      <c r="K14" s="35">
        <f t="shared" ca="1" si="1"/>
        <v>-2172042.2686342485</v>
      </c>
      <c r="L14" s="35">
        <f t="shared" ca="1" si="1"/>
        <v>-2997036.3093738239</v>
      </c>
      <c r="M14" s="35">
        <f t="shared" ca="1" si="1"/>
        <v>-4073424.0737015754</v>
      </c>
      <c r="N14" s="35">
        <f t="shared" ca="1" si="1"/>
        <v>-5431545.0681247637</v>
      </c>
      <c r="O14" s="35">
        <f t="shared" ca="1" si="1"/>
        <v>-7078737.0095526539</v>
      </c>
      <c r="P14" s="35">
        <f t="shared" ca="1" si="1"/>
        <v>-8985580.3863995075</v>
      </c>
      <c r="Q14" s="35">
        <f t="shared" ca="1" si="1"/>
        <v>-11073623.965312503</v>
      </c>
      <c r="R14" s="35">
        <f t="shared" ca="1" si="1"/>
        <v>-13209053.779647365</v>
      </c>
    </row>
    <row r="15" spans="2:18" x14ac:dyDescent="0.25">
      <c r="C15" s="11" t="s">
        <v>23</v>
      </c>
      <c r="D15" s="39">
        <f>SUM(D13:D14)</f>
        <v>1202485</v>
      </c>
      <c r="E15" s="39">
        <f>SUM(E13:E14)</f>
        <v>1497322</v>
      </c>
      <c r="F15" s="39">
        <f>SUM(F13:F14)</f>
        <v>1793907</v>
      </c>
      <c r="G15" s="39">
        <f>SUM(G13:G14)</f>
        <v>2299517</v>
      </c>
      <c r="H15" s="39">
        <f>SUM(H13:H14)</f>
        <v>3686269</v>
      </c>
      <c r="I15" s="39">
        <f ca="1">I13*I38</f>
        <v>5182239.8204268441</v>
      </c>
      <c r="J15" s="39">
        <f t="shared" ref="J15:R15" ca="1" si="2">J13*J38</f>
        <v>7273840.6436599605</v>
      </c>
      <c r="K15" s="39">
        <f t="shared" ca="1" si="2"/>
        <v>10145673.380694201</v>
      </c>
      <c r="L15" s="39">
        <f t="shared" ca="1" si="2"/>
        <v>13999244.8324256</v>
      </c>
      <c r="M15" s="39">
        <f t="shared" ca="1" si="2"/>
        <v>19027083.767950453</v>
      </c>
      <c r="N15" s="39">
        <f t="shared" ca="1" si="2"/>
        <v>25370906.915344976</v>
      </c>
      <c r="O15" s="39">
        <f t="shared" ca="1" si="2"/>
        <v>33064988.966311309</v>
      </c>
      <c r="P15" s="39">
        <f t="shared" ca="1" si="2"/>
        <v>41971910.516135827</v>
      </c>
      <c r="Q15" s="39">
        <f t="shared" ca="1" si="2"/>
        <v>51725223.5442601</v>
      </c>
      <c r="R15" s="39">
        <f t="shared" ca="1" si="2"/>
        <v>61699879.07306844</v>
      </c>
    </row>
    <row r="16" spans="2:18" x14ac:dyDescent="0.25">
      <c r="C16" s="1" t="s">
        <v>25</v>
      </c>
      <c r="D16" s="36">
        <v>-614512</v>
      </c>
      <c r="E16" s="36">
        <v>-702511</v>
      </c>
      <c r="F16" s="36">
        <v>-744992</v>
      </c>
      <c r="G16" s="36">
        <v>-887755</v>
      </c>
      <c r="H16" s="36">
        <v>-1056859</v>
      </c>
      <c r="I16" s="34">
        <f ca="1">I13*-I40</f>
        <v>-1485756.13835466</v>
      </c>
      <c r="J16" s="34">
        <f t="shared" ref="J16:R16" ca="1" si="3">J13*-J40</f>
        <v>-2041265.9911013804</v>
      </c>
      <c r="K16" s="34">
        <f t="shared" ca="1" si="3"/>
        <v>-2785603.0284164688</v>
      </c>
      <c r="L16" s="34">
        <f t="shared" ca="1" si="3"/>
        <v>-3758660.8383783139</v>
      </c>
      <c r="M16" s="34">
        <f t="shared" ca="1" si="3"/>
        <v>-4993084.0655127363</v>
      </c>
      <c r="N16" s="34">
        <f t="shared" ca="1" si="3"/>
        <v>-6503816.7900601523</v>
      </c>
      <c r="O16" s="34">
        <f t="shared" ca="1" si="3"/>
        <v>-8275471.4850346344</v>
      </c>
      <c r="P16" s="34">
        <f t="shared" ca="1" si="3"/>
        <v>-10249899.209759206</v>
      </c>
      <c r="Q16" s="34">
        <f t="shared" ca="1" si="3"/>
        <v>-12317747.358468032</v>
      </c>
      <c r="R16" s="34">
        <f t="shared" ca="1" si="3"/>
        <v>-14318548.383846071</v>
      </c>
    </row>
    <row r="17" spans="3:18" x14ac:dyDescent="0.25">
      <c r="C17" s="1" t="s">
        <v>24</v>
      </c>
      <c r="D17" s="36">
        <v>-387487</v>
      </c>
      <c r="E17" s="36">
        <v>-359679</v>
      </c>
      <c r="F17" s="36">
        <v>-404624</v>
      </c>
      <c r="G17" s="36">
        <v>-507878</v>
      </c>
      <c r="H17" s="36">
        <v>-557677</v>
      </c>
      <c r="I17" s="34">
        <f ca="1">I13*-I41</f>
        <v>-783994.86210479517</v>
      </c>
      <c r="J17" s="34">
        <f t="shared" ref="J17:R17" ca="1" si="4">J13*-J41</f>
        <v>-1056267.251133281</v>
      </c>
      <c r="K17" s="34">
        <f t="shared" ca="1" si="4"/>
        <v>-1411710.4748557569</v>
      </c>
      <c r="L17" s="34">
        <f t="shared" ca="1" si="4"/>
        <v>-1862930.7562980654</v>
      </c>
      <c r="M17" s="34">
        <f t="shared" ca="1" si="4"/>
        <v>-2416501.1494387761</v>
      </c>
      <c r="N17" s="34">
        <f t="shared" ca="1" si="4"/>
        <v>-3068174.9376029023</v>
      </c>
      <c r="O17" s="34">
        <f t="shared" ca="1" si="4"/>
        <v>-3797923.2317245225</v>
      </c>
      <c r="P17" s="34">
        <f t="shared" ca="1" si="4"/>
        <v>-4566205.959140297</v>
      </c>
      <c r="Q17" s="34">
        <f t="shared" ca="1" si="4"/>
        <v>-5313293.6576472698</v>
      </c>
      <c r="R17" s="34">
        <f t="shared" ca="1" si="4"/>
        <v>-5963360.7848259099</v>
      </c>
    </row>
    <row r="18" spans="3:18" x14ac:dyDescent="0.25">
      <c r="C18" s="5" t="s">
        <v>26</v>
      </c>
      <c r="D18" s="37">
        <v>-611532</v>
      </c>
      <c r="E18" s="37">
        <v>-596333</v>
      </c>
      <c r="F18" s="37">
        <v>-524325</v>
      </c>
      <c r="G18" s="37">
        <v>-593481</v>
      </c>
      <c r="H18" s="37">
        <v>-657718</v>
      </c>
      <c r="I18" s="35">
        <f ca="1">I13*-I42</f>
        <v>-924634.74863378203</v>
      </c>
      <c r="J18" s="35">
        <f t="shared" ref="J18:R18" ca="1" si="5">J13*-J42</f>
        <v>-1253670.7211004447</v>
      </c>
      <c r="K18" s="35">
        <f t="shared" ca="1" si="5"/>
        <v>-1687052.1036620182</v>
      </c>
      <c r="L18" s="35">
        <f t="shared" ca="1" si="5"/>
        <v>-2242853.7766421288</v>
      </c>
      <c r="M18" s="35">
        <f t="shared" ca="1" si="5"/>
        <v>-2932873.7981059058</v>
      </c>
      <c r="N18" s="35">
        <f t="shared" ca="1" si="5"/>
        <v>-3756711.4765038961</v>
      </c>
      <c r="O18" s="35">
        <f t="shared" ca="1" si="5"/>
        <v>-4695268.0975437975</v>
      </c>
      <c r="P18" s="35">
        <f t="shared" ca="1" si="5"/>
        <v>-5705274.1877326071</v>
      </c>
      <c r="Q18" s="35">
        <f t="shared" ca="1" si="5"/>
        <v>-6717055.3170897374</v>
      </c>
      <c r="R18" s="35">
        <f t="shared" ca="1" si="5"/>
        <v>-7637822.8499516081</v>
      </c>
    </row>
    <row r="19" spans="3:18" x14ac:dyDescent="0.25">
      <c r="C19" s="11" t="s">
        <v>27</v>
      </c>
      <c r="D19" s="39">
        <f t="shared" ref="D19:R19" si="6">SUM(D15:D18)</f>
        <v>-411046</v>
      </c>
      <c r="E19" s="39">
        <f t="shared" si="6"/>
        <v>-161201</v>
      </c>
      <c r="F19" s="39">
        <f t="shared" si="6"/>
        <v>119966</v>
      </c>
      <c r="G19" s="39">
        <f t="shared" si="6"/>
        <v>310403</v>
      </c>
      <c r="H19" s="39">
        <f t="shared" si="6"/>
        <v>1414015</v>
      </c>
      <c r="I19" s="39">
        <f t="shared" ca="1" si="6"/>
        <v>1987854.0713336072</v>
      </c>
      <c r="J19" s="39">
        <f t="shared" ca="1" si="6"/>
        <v>2922636.6803248543</v>
      </c>
      <c r="K19" s="39">
        <f t="shared" ca="1" si="6"/>
        <v>4261307.7737599574</v>
      </c>
      <c r="L19" s="39">
        <f t="shared" ca="1" si="6"/>
        <v>6134799.461107092</v>
      </c>
      <c r="M19" s="39">
        <f t="shared" ca="1" si="6"/>
        <v>8684624.7548930347</v>
      </c>
      <c r="N19" s="39">
        <f t="shared" ca="1" si="6"/>
        <v>12042203.711178027</v>
      </c>
      <c r="O19" s="39">
        <f t="shared" ca="1" si="6"/>
        <v>16296326.152008355</v>
      </c>
      <c r="P19" s="39">
        <f t="shared" ca="1" si="6"/>
        <v>21450531.159503717</v>
      </c>
      <c r="Q19" s="39">
        <f t="shared" ca="1" si="6"/>
        <v>27377127.211055063</v>
      </c>
      <c r="R19" s="39">
        <f t="shared" ca="1" si="6"/>
        <v>33780147.054444849</v>
      </c>
    </row>
    <row r="20" spans="3:18" x14ac:dyDescent="0.25">
      <c r="C20" s="1" t="s">
        <v>28</v>
      </c>
      <c r="D20" s="36">
        <v>1607</v>
      </c>
      <c r="E20" s="36">
        <v>20309</v>
      </c>
      <c r="F20" s="36">
        <v>132572</v>
      </c>
      <c r="G20" s="36">
        <v>196792</v>
      </c>
      <c r="H20" s="36">
        <v>229181</v>
      </c>
      <c r="I20" s="53">
        <f ca="1">I247</f>
        <v>268401.55310705642</v>
      </c>
      <c r="J20" s="53">
        <f t="shared" ref="J20:R20" ca="1" si="7">J247</f>
        <v>365371.20104122802</v>
      </c>
      <c r="K20" s="53">
        <f t="shared" ca="1" si="7"/>
        <v>506754.02115257335</v>
      </c>
      <c r="L20" s="53">
        <f t="shared" ca="1" si="7"/>
        <v>710403.0288199808</v>
      </c>
      <c r="M20" s="53">
        <f t="shared" ca="1" si="7"/>
        <v>999095.5750965632</v>
      </c>
      <c r="N20" s="53">
        <f t="shared" ca="1" si="7"/>
        <v>1402492.83562836</v>
      </c>
      <c r="O20" s="53">
        <f t="shared" ca="1" si="7"/>
        <v>1953579.385913678</v>
      </c>
      <c r="P20" s="53">
        <f t="shared" ca="1" si="7"/>
        <v>2685409.0632915348</v>
      </c>
      <c r="Q20" s="53">
        <f t="shared" ca="1" si="7"/>
        <v>3630872.1588927824</v>
      </c>
      <c r="R20" s="53">
        <f t="shared" ca="1" si="7"/>
        <v>4816021.1259115953</v>
      </c>
    </row>
    <row r="21" spans="3:18" x14ac:dyDescent="0.25">
      <c r="C21" s="5" t="s">
        <v>29</v>
      </c>
      <c r="D21" s="37">
        <f>-75415-3640</f>
        <v>-79055</v>
      </c>
      <c r="E21" s="37">
        <f>-216077-4058</f>
        <v>-220135</v>
      </c>
      <c r="F21" s="37">
        <f>-11977-3470</f>
        <v>-15447</v>
      </c>
      <c r="G21" s="37">
        <v>-18022</v>
      </c>
      <c r="H21" s="37">
        <v>14172</v>
      </c>
      <c r="I21" s="35">
        <f ca="1">I13*I44</f>
        <v>19923.316159262722</v>
      </c>
      <c r="J21" s="35">
        <f t="shared" ref="J21:R21" ca="1" si="8">J13*J44</f>
        <v>27964.554296484865</v>
      </c>
      <c r="K21" s="35">
        <f t="shared" ca="1" si="8"/>
        <v>39005.423410824929</v>
      </c>
      <c r="L21" s="35">
        <f t="shared" ca="1" si="8"/>
        <v>53820.623987325831</v>
      </c>
      <c r="M21" s="35">
        <f t="shared" ca="1" si="8"/>
        <v>73150.340129652453</v>
      </c>
      <c r="N21" s="35">
        <f t="shared" ca="1" si="8"/>
        <v>97539.407136123016</v>
      </c>
      <c r="O21" s="35">
        <f t="shared" ca="1" si="8"/>
        <v>127119.5953498141</v>
      </c>
      <c r="P21" s="35">
        <f t="shared" ca="1" si="8"/>
        <v>161362.59069391762</v>
      </c>
      <c r="Q21" s="35">
        <f t="shared" ca="1" si="8"/>
        <v>198859.56995250596</v>
      </c>
      <c r="R21" s="35">
        <f t="shared" ca="1" si="8"/>
        <v>237207.50879100955</v>
      </c>
    </row>
    <row r="22" spans="3:18" x14ac:dyDescent="0.25">
      <c r="C22" s="1" t="s">
        <v>30</v>
      </c>
      <c r="D22" s="34">
        <f t="shared" ref="D22:R22" si="9">SUM(D19:D21)</f>
        <v>-488494</v>
      </c>
      <c r="E22" s="34">
        <f t="shared" si="9"/>
        <v>-361027</v>
      </c>
      <c r="F22" s="34">
        <f t="shared" si="9"/>
        <v>237091</v>
      </c>
      <c r="G22" s="34">
        <f t="shared" si="9"/>
        <v>489173</v>
      </c>
      <c r="H22" s="34">
        <f t="shared" si="9"/>
        <v>1657368</v>
      </c>
      <c r="I22" s="34">
        <f t="shared" ca="1" si="9"/>
        <v>2276178.9405999263</v>
      </c>
      <c r="J22" s="34">
        <f t="shared" ca="1" si="9"/>
        <v>3315972.4356625671</v>
      </c>
      <c r="K22" s="34">
        <f t="shared" ca="1" si="9"/>
        <v>4807067.2183233555</v>
      </c>
      <c r="L22" s="34">
        <f t="shared" ca="1" si="9"/>
        <v>6899023.1139143985</v>
      </c>
      <c r="M22" s="34">
        <f t="shared" ca="1" si="9"/>
        <v>9756870.6701192502</v>
      </c>
      <c r="N22" s="34">
        <f t="shared" ca="1" si="9"/>
        <v>13542235.953942511</v>
      </c>
      <c r="O22" s="34">
        <f t="shared" ca="1" si="9"/>
        <v>18377025.133271847</v>
      </c>
      <c r="P22" s="34">
        <f t="shared" ca="1" si="9"/>
        <v>24297302.813489169</v>
      </c>
      <c r="Q22" s="34">
        <f t="shared" ca="1" si="9"/>
        <v>31206858.93990035</v>
      </c>
      <c r="R22" s="34">
        <f t="shared" ca="1" si="9"/>
        <v>38833375.68914745</v>
      </c>
    </row>
    <row r="23" spans="3:18" x14ac:dyDescent="0.25">
      <c r="C23" s="5" t="s">
        <v>31</v>
      </c>
      <c r="D23" s="37">
        <v>-31885</v>
      </c>
      <c r="E23" s="37">
        <v>-10067</v>
      </c>
      <c r="F23" s="37">
        <v>-19716</v>
      </c>
      <c r="G23" s="37">
        <v>-21255</v>
      </c>
      <c r="H23" s="37">
        <v>-22724</v>
      </c>
      <c r="I23" s="35">
        <f ca="1">I22*-I45</f>
        <v>-521700.21318550309</v>
      </c>
      <c r="J23" s="35">
        <f t="shared" ref="J23:R23" ca="1" si="10">J22*-J45</f>
        <v>-758694.49327959539</v>
      </c>
      <c r="K23" s="35">
        <f t="shared" ca="1" si="10"/>
        <v>-1084955.0711755813</v>
      </c>
      <c r="L23" s="35">
        <f t="shared" ca="1" si="10"/>
        <v>-1517785.0850611676</v>
      </c>
      <c r="M23" s="35">
        <f t="shared" ca="1" si="10"/>
        <v>-2146511.5474262349</v>
      </c>
      <c r="N23" s="35">
        <f t="shared" ca="1" si="10"/>
        <v>-2843869.5503279273</v>
      </c>
      <c r="O23" s="35">
        <f t="shared" ca="1" si="10"/>
        <v>-3859175.2779870876</v>
      </c>
      <c r="P23" s="35">
        <f t="shared" ca="1" si="10"/>
        <v>-5102433.5908327252</v>
      </c>
      <c r="Q23" s="35">
        <f t="shared" ca="1" si="10"/>
        <v>-6553440.3773790728</v>
      </c>
      <c r="R23" s="35">
        <f t="shared" ca="1" si="10"/>
        <v>-8155008.8947209641</v>
      </c>
    </row>
    <row r="24" spans="3:18" ht="15.75" thickBot="1" x14ac:dyDescent="0.3">
      <c r="C24" s="30" t="s">
        <v>32</v>
      </c>
      <c r="D24" s="40">
        <f t="shared" ref="D24:R24" si="11">SUM(D22:D23)</f>
        <v>-520379</v>
      </c>
      <c r="E24" s="40">
        <f t="shared" si="11"/>
        <v>-371094</v>
      </c>
      <c r="F24" s="40">
        <f t="shared" si="11"/>
        <v>217375</v>
      </c>
      <c r="G24" s="40">
        <f t="shared" si="11"/>
        <v>467918</v>
      </c>
      <c r="H24" s="40">
        <f t="shared" si="11"/>
        <v>1634644</v>
      </c>
      <c r="I24" s="40">
        <f t="shared" ca="1" si="11"/>
        <v>1754478.7274144231</v>
      </c>
      <c r="J24" s="40">
        <f t="shared" ca="1" si="11"/>
        <v>2557277.9423829718</v>
      </c>
      <c r="K24" s="40">
        <f t="shared" ca="1" si="11"/>
        <v>3722112.1471477742</v>
      </c>
      <c r="L24" s="40">
        <f t="shared" ca="1" si="11"/>
        <v>5381238.0288532311</v>
      </c>
      <c r="M24" s="40">
        <f t="shared" ca="1" si="11"/>
        <v>7610359.1226930153</v>
      </c>
      <c r="N24" s="40">
        <f t="shared" ca="1" si="11"/>
        <v>10698366.403614584</v>
      </c>
      <c r="O24" s="40">
        <f t="shared" ca="1" si="11"/>
        <v>14517849.85528476</v>
      </c>
      <c r="P24" s="40">
        <f t="shared" ca="1" si="11"/>
        <v>19194869.222656444</v>
      </c>
      <c r="Q24" s="40">
        <f t="shared" ca="1" si="11"/>
        <v>24653418.562521279</v>
      </c>
      <c r="R24" s="40">
        <f t="shared" ca="1" si="11"/>
        <v>30678366.794426486</v>
      </c>
    </row>
    <row r="25" spans="3:18" ht="15.75" thickTop="1" x14ac:dyDescent="0.25">
      <c r="C25" s="1" t="s">
        <v>75</v>
      </c>
      <c r="D25" s="36">
        <v>0</v>
      </c>
      <c r="E25" s="36">
        <v>-2611</v>
      </c>
      <c r="F25" s="36">
        <v>-7550</v>
      </c>
      <c r="G25" s="36">
        <v>-5728</v>
      </c>
      <c r="H25" s="36">
        <v>-9611</v>
      </c>
      <c r="I25" s="53">
        <f>H25</f>
        <v>-9611</v>
      </c>
      <c r="J25" s="53">
        <f t="shared" ref="J25:R25" si="12">I25</f>
        <v>-9611</v>
      </c>
      <c r="K25" s="53">
        <f t="shared" si="12"/>
        <v>-9611</v>
      </c>
      <c r="L25" s="53">
        <f t="shared" si="12"/>
        <v>-9611</v>
      </c>
      <c r="M25" s="53">
        <f t="shared" si="12"/>
        <v>-9611</v>
      </c>
      <c r="N25" s="53">
        <f t="shared" si="12"/>
        <v>-9611</v>
      </c>
      <c r="O25" s="53">
        <f t="shared" si="12"/>
        <v>-9611</v>
      </c>
      <c r="P25" s="53">
        <f t="shared" si="12"/>
        <v>-9611</v>
      </c>
      <c r="Q25" s="53">
        <f t="shared" si="12"/>
        <v>-9611</v>
      </c>
      <c r="R25" s="53">
        <f t="shared" si="12"/>
        <v>-9611</v>
      </c>
    </row>
    <row r="26" spans="3:18" x14ac:dyDescent="0.25">
      <c r="C26" s="11" t="s">
        <v>76</v>
      </c>
      <c r="D26" s="39">
        <f t="shared" ref="D26:R26" si="13">SUM(D24:D25)</f>
        <v>-520379</v>
      </c>
      <c r="E26" s="39">
        <f t="shared" si="13"/>
        <v>-373705</v>
      </c>
      <c r="F26" s="39">
        <f t="shared" si="13"/>
        <v>209825</v>
      </c>
      <c r="G26" s="39">
        <f t="shared" si="13"/>
        <v>462190</v>
      </c>
      <c r="H26" s="39">
        <f t="shared" si="13"/>
        <v>1625033</v>
      </c>
      <c r="I26" s="39">
        <f t="shared" ca="1" si="13"/>
        <v>1744867.7274144231</v>
      </c>
      <c r="J26" s="39">
        <f t="shared" ca="1" si="13"/>
        <v>2547666.9423829718</v>
      </c>
      <c r="K26" s="39">
        <f t="shared" ca="1" si="13"/>
        <v>3712501.1471477742</v>
      </c>
      <c r="L26" s="39">
        <f t="shared" ca="1" si="13"/>
        <v>5371627.0288532311</v>
      </c>
      <c r="M26" s="39">
        <f t="shared" ca="1" si="13"/>
        <v>7600748.1226930153</v>
      </c>
      <c r="N26" s="39">
        <f t="shared" ca="1" si="13"/>
        <v>10688755.403614584</v>
      </c>
      <c r="O26" s="39">
        <f t="shared" ca="1" si="13"/>
        <v>14508238.85528476</v>
      </c>
      <c r="P26" s="39">
        <f t="shared" ca="1" si="13"/>
        <v>19185258.222656444</v>
      </c>
      <c r="Q26" s="39">
        <f t="shared" ca="1" si="13"/>
        <v>24643807.562521279</v>
      </c>
      <c r="R26" s="39">
        <f t="shared" ca="1" si="13"/>
        <v>30668755.794426486</v>
      </c>
    </row>
    <row r="28" spans="3:18" x14ac:dyDescent="0.25">
      <c r="C28" s="1" t="s">
        <v>34</v>
      </c>
      <c r="D28" s="38">
        <v>-0.27</v>
      </c>
      <c r="E28" s="38">
        <v>-0.18</v>
      </c>
      <c r="F28" s="38">
        <v>0.1</v>
      </c>
      <c r="G28" s="38">
        <v>0.21</v>
      </c>
      <c r="H28" s="38">
        <v>0.69</v>
      </c>
      <c r="I28" s="193">
        <f ca="1">I266</f>
        <v>0.72879865788678111</v>
      </c>
      <c r="J28" s="193">
        <f t="shared" ref="J28:R28" ca="1" si="14">J266</f>
        <v>1.0636408431940609</v>
      </c>
      <c r="K28" s="193">
        <f t="shared" ca="1" si="14"/>
        <v>1.5490192741969406</v>
      </c>
      <c r="L28" s="193">
        <f t="shared" ca="1" si="14"/>
        <v>2.2394824337118369</v>
      </c>
      <c r="M28" s="193">
        <f t="shared" ca="1" si="14"/>
        <v>3.1655402235322465</v>
      </c>
      <c r="N28" s="193">
        <f t="shared" ca="1" si="14"/>
        <v>4.4458651592510812</v>
      </c>
      <c r="O28" s="193">
        <f t="shared" ca="1" si="14"/>
        <v>6.0251609296902098</v>
      </c>
      <c r="P28" s="193">
        <f t="shared" ca="1" si="14"/>
        <v>7.9533214504172012</v>
      </c>
      <c r="Q28" s="193">
        <f t="shared" ca="1" si="14"/>
        <v>10.196525132613191</v>
      </c>
      <c r="R28" s="193">
        <f t="shared" ca="1" si="14"/>
        <v>12.664744151605392</v>
      </c>
    </row>
    <row r="29" spans="3:18" x14ac:dyDescent="0.25">
      <c r="C29" s="1" t="s">
        <v>35</v>
      </c>
      <c r="D29" s="38">
        <v>-0.27</v>
      </c>
      <c r="E29" s="38">
        <v>-0.18</v>
      </c>
      <c r="F29" s="38">
        <v>0.09</v>
      </c>
      <c r="G29" s="38">
        <v>0.19</v>
      </c>
      <c r="H29" s="38">
        <v>0.63</v>
      </c>
      <c r="I29" s="193">
        <f ca="1">I269</f>
        <v>0.6737578925501595</v>
      </c>
      <c r="J29" s="193">
        <f t="shared" ref="J29:R29" ca="1" si="15">J269</f>
        <v>0.98334487197314324</v>
      </c>
      <c r="K29" s="193">
        <f t="shared" ca="1" si="15"/>
        <v>1.4321465342078377</v>
      </c>
      <c r="L29" s="193">
        <f t="shared" ca="1" si="15"/>
        <v>2.0706398741836933</v>
      </c>
      <c r="M29" s="193">
        <f t="shared" ca="1" si="15"/>
        <v>2.9271075747802895</v>
      </c>
      <c r="N29" s="193">
        <f t="shared" ca="1" si="15"/>
        <v>4.1113974795719264</v>
      </c>
      <c r="O29" s="193">
        <f t="shared" ca="1" si="15"/>
        <v>5.5725322299912481</v>
      </c>
      <c r="P29" s="193">
        <f t="shared" ca="1" si="15"/>
        <v>7.3568262794158725</v>
      </c>
      <c r="Q29" s="193">
        <f t="shared" ca="1" si="15"/>
        <v>9.4331521765857609</v>
      </c>
      <c r="R29" s="193">
        <f t="shared" ca="1" si="15"/>
        <v>11.718289054823844</v>
      </c>
    </row>
    <row r="31" spans="3:18" x14ac:dyDescent="0.25">
      <c r="C31" s="1" t="s">
        <v>36</v>
      </c>
      <c r="D31" s="36">
        <v>14897</v>
      </c>
      <c r="E31" s="36">
        <v>22522</v>
      </c>
      <c r="F31" s="36">
        <v>33354</v>
      </c>
      <c r="G31" s="36">
        <v>31587</v>
      </c>
      <c r="H31" s="36">
        <v>26145</v>
      </c>
      <c r="I31" s="53">
        <f ca="1">I210</f>
        <v>25239.135662268425</v>
      </c>
      <c r="J31" s="53">
        <f t="shared" ref="J31:R31" ca="1" si="16">J210</f>
        <v>33966.267631044902</v>
      </c>
      <c r="K31" s="53">
        <f t="shared" ca="1" si="16"/>
        <v>48413.421716603792</v>
      </c>
      <c r="L31" s="53">
        <f t="shared" ca="1" si="16"/>
        <v>69840.689668726889</v>
      </c>
      <c r="M31" s="53">
        <f t="shared" ca="1" si="16"/>
        <v>99829.690219440934</v>
      </c>
      <c r="N31" s="53">
        <f t="shared" ca="1" si="16"/>
        <v>140141.99015690378</v>
      </c>
      <c r="O31" s="53">
        <f t="shared" ca="1" si="16"/>
        <v>192491.28542828117</v>
      </c>
      <c r="P31" s="53">
        <f t="shared" ca="1" si="16"/>
        <v>257089.07662432757</v>
      </c>
      <c r="Q31" s="53">
        <f t="shared" ca="1" si="16"/>
        <v>330333.9427620545</v>
      </c>
      <c r="R31" s="53">
        <f t="shared" ca="1" si="16"/>
        <v>414205.02539184014</v>
      </c>
    </row>
    <row r="32" spans="3:18" x14ac:dyDescent="0.25">
      <c r="C32" s="1" t="s">
        <v>37</v>
      </c>
      <c r="D32" s="34">
        <f t="shared" ref="D32:R32" si="17">D19+D31</f>
        <v>-396149</v>
      </c>
      <c r="E32" s="34">
        <f t="shared" si="17"/>
        <v>-138679</v>
      </c>
      <c r="F32" s="34">
        <f t="shared" si="17"/>
        <v>153320</v>
      </c>
      <c r="G32" s="34">
        <f t="shared" si="17"/>
        <v>341990</v>
      </c>
      <c r="H32" s="34">
        <f t="shared" si="17"/>
        <v>1440160</v>
      </c>
      <c r="I32" s="34">
        <f t="shared" ca="1" si="17"/>
        <v>2013093.2069958756</v>
      </c>
      <c r="J32" s="34">
        <f t="shared" ca="1" si="17"/>
        <v>2956602.9479558994</v>
      </c>
      <c r="K32" s="34">
        <f t="shared" ca="1" si="17"/>
        <v>4309721.1954765609</v>
      </c>
      <c r="L32" s="34">
        <f t="shared" ca="1" si="17"/>
        <v>6204640.1507758191</v>
      </c>
      <c r="M32" s="34">
        <f t="shared" ca="1" si="17"/>
        <v>8784454.4451124761</v>
      </c>
      <c r="N32" s="34">
        <f t="shared" ca="1" si="17"/>
        <v>12182345.701334931</v>
      </c>
      <c r="O32" s="34">
        <f t="shared" ca="1" si="17"/>
        <v>16488817.437436637</v>
      </c>
      <c r="P32" s="34">
        <f t="shared" ca="1" si="17"/>
        <v>21707620.236128043</v>
      </c>
      <c r="Q32" s="34">
        <f t="shared" ca="1" si="17"/>
        <v>27707461.153817117</v>
      </c>
      <c r="R32" s="34">
        <f t="shared" ca="1" si="17"/>
        <v>34194352.079836689</v>
      </c>
    </row>
    <row r="33" spans="2:18" x14ac:dyDescent="0.25">
      <c r="C33" s="1" t="s">
        <v>38</v>
      </c>
      <c r="D33" s="36">
        <v>778215</v>
      </c>
      <c r="E33" s="36">
        <v>564798</v>
      </c>
      <c r="F33" s="36">
        <v>475903</v>
      </c>
      <c r="G33" s="36">
        <v>691638</v>
      </c>
      <c r="H33" s="36">
        <v>684033</v>
      </c>
      <c r="I33" s="34">
        <f ca="1">H33*(1+I37)</f>
        <v>961628.96714429557</v>
      </c>
      <c r="J33" s="34">
        <f t="shared" ref="J33:R33" ca="1" si="18">I33*(1+J37)</f>
        <v>1349751.4796138462</v>
      </c>
      <c r="K33" s="34">
        <f t="shared" ca="1" si="18"/>
        <v>1882655.7149292128</v>
      </c>
      <c r="L33" s="34">
        <f t="shared" ca="1" si="18"/>
        <v>2597733.7629073132</v>
      </c>
      <c r="M33" s="34">
        <f t="shared" ca="1" si="18"/>
        <v>3530711.728048726</v>
      </c>
      <c r="N33" s="34">
        <f t="shared" ca="1" si="18"/>
        <v>4707886.9095077347</v>
      </c>
      <c r="O33" s="34">
        <f t="shared" ca="1" si="18"/>
        <v>6135619.4020547112</v>
      </c>
      <c r="P33" s="34">
        <f t="shared" ca="1" si="18"/>
        <v>7788409.3282622444</v>
      </c>
      <c r="Q33" s="34">
        <f t="shared" ca="1" si="18"/>
        <v>9598257.7062745187</v>
      </c>
      <c r="R33" s="34">
        <f t="shared" ca="1" si="18"/>
        <v>11449178.934578082</v>
      </c>
    </row>
    <row r="34" spans="2:18" x14ac:dyDescent="0.25">
      <c r="C34" s="1" t="s">
        <v>39</v>
      </c>
      <c r="D34" s="34">
        <f t="shared" ref="D34:R34" si="19">D32+D33</f>
        <v>382066</v>
      </c>
      <c r="E34" s="34">
        <f t="shared" si="19"/>
        <v>426119</v>
      </c>
      <c r="F34" s="34">
        <f t="shared" si="19"/>
        <v>629223</v>
      </c>
      <c r="G34" s="34">
        <f t="shared" si="19"/>
        <v>1033628</v>
      </c>
      <c r="H34" s="34">
        <f t="shared" si="19"/>
        <v>2124193</v>
      </c>
      <c r="I34" s="34">
        <f t="shared" ca="1" si="19"/>
        <v>2974722.1741401711</v>
      </c>
      <c r="J34" s="34">
        <f t="shared" ca="1" si="19"/>
        <v>4306354.4275697451</v>
      </c>
      <c r="K34" s="34">
        <f t="shared" ca="1" si="19"/>
        <v>6192376.9104057737</v>
      </c>
      <c r="L34" s="34">
        <f t="shared" ca="1" si="19"/>
        <v>8802373.9136831313</v>
      </c>
      <c r="M34" s="34">
        <f t="shared" ca="1" si="19"/>
        <v>12315166.173161201</v>
      </c>
      <c r="N34" s="34">
        <f t="shared" ca="1" si="19"/>
        <v>16890232.610842668</v>
      </c>
      <c r="O34" s="34">
        <f t="shared" ca="1" si="19"/>
        <v>22624436.839491349</v>
      </c>
      <c r="P34" s="34">
        <f t="shared" ca="1" si="19"/>
        <v>29496029.564390287</v>
      </c>
      <c r="Q34" s="34">
        <f t="shared" ca="1" si="19"/>
        <v>37305718.860091634</v>
      </c>
      <c r="R34" s="34">
        <f t="shared" ca="1" si="19"/>
        <v>45643531.014414772</v>
      </c>
    </row>
    <row r="35" spans="2:18" x14ac:dyDescent="0.25"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2:18" x14ac:dyDescent="0.25">
      <c r="C36" s="50" t="s">
        <v>77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/>
      <c r="O36" s="5"/>
      <c r="P36" s="5"/>
      <c r="Q36" s="5"/>
      <c r="R36" s="5"/>
    </row>
    <row r="37" spans="2:18" x14ac:dyDescent="0.25">
      <c r="C37" s="1" t="s">
        <v>78</v>
      </c>
      <c r="D37" s="42"/>
      <c r="E37" s="47">
        <f>'Rev Build'!E21</f>
        <v>0.23606238840798532</v>
      </c>
      <c r="F37" s="47">
        <f>'Rev Build'!F21</f>
        <v>0.16745152216493131</v>
      </c>
      <c r="G37" s="47">
        <f>'Rev Build'!G21</f>
        <v>0.2878613688375613</v>
      </c>
      <c r="H37" s="47">
        <f>'Rev Build'!H21</f>
        <v>0.56183390932215493</v>
      </c>
      <c r="I37" s="47">
        <f ca="1">'Rev Build'!I21</f>
        <v>0.40582247807385841</v>
      </c>
      <c r="J37" s="47">
        <f ca="1">'Rev Build'!J21</f>
        <v>0.40360942289637958</v>
      </c>
      <c r="K37" s="47">
        <f ca="1">'Rev Build'!K21</f>
        <v>0.39481655946606309</v>
      </c>
      <c r="L37" s="47">
        <f ca="1">'Rev Build'!L21</f>
        <v>0.37982411882726375</v>
      </c>
      <c r="M37" s="47">
        <f ca="1">'Rev Build'!M21</f>
        <v>0.35915072532192416</v>
      </c>
      <c r="N37" s="47">
        <f ca="1">'Rev Build'!N21</f>
        <v>0.33341016546530211</v>
      </c>
      <c r="O37" s="47">
        <f ca="1">'Rev Build'!O21</f>
        <v>0.30326397383582493</v>
      </c>
      <c r="P37" s="47">
        <f ca="1">'Rev Build'!P21</f>
        <v>0.2693762141853262</v>
      </c>
      <c r="Q37" s="47">
        <f ca="1">'Rev Build'!Q21</f>
        <v>0.23237715196154052</v>
      </c>
      <c r="R37" s="47">
        <f ca="1">'Rev Build'!R21</f>
        <v>0.19283929281181833</v>
      </c>
    </row>
    <row r="38" spans="2:18" x14ac:dyDescent="0.25">
      <c r="C38" s="1" t="s">
        <v>79</v>
      </c>
      <c r="D38" s="42">
        <f>D15/D13</f>
        <v>0.77987779924495215</v>
      </c>
      <c r="E38" s="42">
        <f>E15/E13</f>
        <v>0.78563659345254744</v>
      </c>
      <c r="F38" s="42">
        <f>F15/F13</f>
        <v>0.80624598878567844</v>
      </c>
      <c r="G38" s="42">
        <f>G15/G13</f>
        <v>0.80248172487451608</v>
      </c>
      <c r="H38" s="42">
        <f>H15/H13</f>
        <v>0.82366517214150281</v>
      </c>
      <c r="I38" s="47">
        <f ca="1">'Rev Build'!I33</f>
        <v>0.82366517214150281</v>
      </c>
      <c r="J38" s="47">
        <f ca="1">'Rev Build'!J33</f>
        <v>0.82366517214150281</v>
      </c>
      <c r="K38" s="47">
        <f ca="1">'Rev Build'!K33</f>
        <v>0.82366517214150281</v>
      </c>
      <c r="L38" s="47">
        <f ca="1">'Rev Build'!L33</f>
        <v>0.82366517214150281</v>
      </c>
      <c r="M38" s="47">
        <f ca="1">'Rev Build'!M33</f>
        <v>0.82366517214150281</v>
      </c>
      <c r="N38" s="47">
        <f ca="1">'Rev Build'!N33</f>
        <v>0.82366517214150281</v>
      </c>
      <c r="O38" s="47">
        <f ca="1">'Rev Build'!O33</f>
        <v>0.82366517214150281</v>
      </c>
      <c r="P38" s="47">
        <f ca="1">'Rev Build'!P33</f>
        <v>0.82366517214150281</v>
      </c>
      <c r="Q38" s="47">
        <f ca="1">'Rev Build'!Q33</f>
        <v>0.82366517214150281</v>
      </c>
      <c r="R38" s="47">
        <f ca="1">'Rev Build'!R33</f>
        <v>0.82366517214150281</v>
      </c>
    </row>
    <row r="39" spans="2:18" x14ac:dyDescent="0.25">
      <c r="D39" s="42"/>
      <c r="E39" s="42"/>
      <c r="F39" s="42"/>
      <c r="G39" s="42"/>
      <c r="H39" s="42"/>
      <c r="I39" s="47"/>
      <c r="J39" s="47"/>
      <c r="K39" s="47"/>
      <c r="L39" s="47"/>
      <c r="M39" s="47"/>
      <c r="N39" s="55"/>
      <c r="O39" s="55"/>
      <c r="P39" s="55"/>
      <c r="Q39" s="55"/>
      <c r="R39" s="55"/>
    </row>
    <row r="40" spans="2:18" x14ac:dyDescent="0.25">
      <c r="C40" s="1" t="s">
        <v>80</v>
      </c>
      <c r="D40" s="42">
        <f>-D16/D13</f>
        <v>0.3985449017406571</v>
      </c>
      <c r="E40" s="42">
        <f>-E16/E13</f>
        <v>0.36860364631184378</v>
      </c>
      <c r="F40" s="42">
        <f>-F16/F13</f>
        <v>0.33482605936507309</v>
      </c>
      <c r="G40" s="42">
        <f>-G16/G13</f>
        <v>0.30980730460613076</v>
      </c>
      <c r="H40" s="42">
        <f>-H16/H13</f>
        <v>0.23614607348630728</v>
      </c>
      <c r="I40" s="47">
        <f ca="1">'Rev Build'!I34</f>
        <v>0.23614607348630728</v>
      </c>
      <c r="J40" s="47">
        <f ca="1">'Rev Build'!J34</f>
        <v>0.23114607348630728</v>
      </c>
      <c r="K40" s="47">
        <f ca="1">'Rev Build'!K34</f>
        <v>0.22614607348630728</v>
      </c>
      <c r="L40" s="47">
        <f ca="1">'Rev Build'!L34</f>
        <v>0.22114607348630727</v>
      </c>
      <c r="M40" s="47">
        <f ca="1">'Rev Build'!M34</f>
        <v>0.21614607348630727</v>
      </c>
      <c r="N40" s="47">
        <f ca="1">'Rev Build'!N34</f>
        <v>0.21114607348630726</v>
      </c>
      <c r="O40" s="47">
        <f ca="1">'Rev Build'!O34</f>
        <v>0.20614607348630726</v>
      </c>
      <c r="P40" s="47">
        <f ca="1">'Rev Build'!P34</f>
        <v>0.20114607348630725</v>
      </c>
      <c r="Q40" s="47">
        <f ca="1">'Rev Build'!Q34</f>
        <v>0.19614607348630725</v>
      </c>
      <c r="R40" s="47">
        <f ca="1">'Rev Build'!R34</f>
        <v>0.19114607348630724</v>
      </c>
    </row>
    <row r="41" spans="2:18" x14ac:dyDescent="0.25">
      <c r="C41" s="1" t="s">
        <v>81</v>
      </c>
      <c r="D41" s="42">
        <f>-D17/D13</f>
        <v>0.25130667642093563</v>
      </c>
      <c r="E41" s="42">
        <f>-E17/E13</f>
        <v>0.18872158713784931</v>
      </c>
      <c r="F41" s="42">
        <f>-F17/F13</f>
        <v>0.18185250236852654</v>
      </c>
      <c r="G41" s="42">
        <f>-G17/G13</f>
        <v>0.17723844331910549</v>
      </c>
      <c r="H41" s="42">
        <f>-H17/H13</f>
        <v>0.12460813961334803</v>
      </c>
      <c r="I41" s="47">
        <f ca="1">'Rev Build'!I35</f>
        <v>0.12460813961334803</v>
      </c>
      <c r="J41" s="47">
        <f ca="1">'Rev Build'!J35</f>
        <v>0.11960813961334803</v>
      </c>
      <c r="K41" s="47">
        <f ca="1">'Rev Build'!K35</f>
        <v>0.11460813961334802</v>
      </c>
      <c r="L41" s="47">
        <f ca="1">'Rev Build'!L35</f>
        <v>0.10960813961334802</v>
      </c>
      <c r="M41" s="47">
        <f ca="1">'Rev Build'!M35</f>
        <v>0.10460813961334801</v>
      </c>
      <c r="N41" s="47">
        <f ca="1">'Rev Build'!N35</f>
        <v>9.960813961334801E-2</v>
      </c>
      <c r="O41" s="47">
        <f ca="1">'Rev Build'!O35</f>
        <v>9.4608139613348005E-2</v>
      </c>
      <c r="P41" s="47">
        <f ca="1">'Rev Build'!P35</f>
        <v>8.9608139613348001E-2</v>
      </c>
      <c r="Q41" s="47">
        <f ca="1">'Rev Build'!Q35</f>
        <v>8.4608139613347996E-2</v>
      </c>
      <c r="R41" s="47">
        <f ca="1">'Rev Build'!R35</f>
        <v>7.9608139613347992E-2</v>
      </c>
    </row>
    <row r="42" spans="2:18" x14ac:dyDescent="0.25">
      <c r="C42" s="1" t="s">
        <v>82</v>
      </c>
      <c r="D42" s="42">
        <f>-D18/D13</f>
        <v>0.39661220749353554</v>
      </c>
      <c r="E42" s="42">
        <f>-E18/E13</f>
        <v>0.31289263544069879</v>
      </c>
      <c r="F42" s="42">
        <f>-F18/F13</f>
        <v>0.23565041446967477</v>
      </c>
      <c r="G42" s="42">
        <f>-G18/G13</f>
        <v>0.20711203985891502</v>
      </c>
      <c r="H42" s="42">
        <f>-H18/H13</f>
        <v>0.14696144250204338</v>
      </c>
      <c r="I42" s="47">
        <f ca="1">'Rev Build'!I36</f>
        <v>0.14696144250204338</v>
      </c>
      <c r="J42" s="47">
        <f ca="1">'Rev Build'!J36</f>
        <v>0.14196144250204337</v>
      </c>
      <c r="K42" s="47">
        <f ca="1">'Rev Build'!K36</f>
        <v>0.13696144250204337</v>
      </c>
      <c r="L42" s="47">
        <f ca="1">'Rev Build'!L36</f>
        <v>0.13196144250204336</v>
      </c>
      <c r="M42" s="47">
        <f ca="1">'Rev Build'!M36</f>
        <v>0.12696144250204336</v>
      </c>
      <c r="N42" s="47">
        <f ca="1">'Rev Build'!N36</f>
        <v>0.12196144250204335</v>
      </c>
      <c r="O42" s="47">
        <f ca="1">'Rev Build'!O36</f>
        <v>0.11696144250204335</v>
      </c>
      <c r="P42" s="47">
        <f ca="1">'Rev Build'!P36</f>
        <v>0.11196144250204335</v>
      </c>
      <c r="Q42" s="47">
        <f ca="1">'Rev Build'!Q36</f>
        <v>0.10696144250204334</v>
      </c>
      <c r="R42" s="47">
        <f ca="1">'Rev Build'!R36</f>
        <v>0.10196144250204334</v>
      </c>
    </row>
    <row r="43" spans="2:18" x14ac:dyDescent="0.25">
      <c r="D43" s="42"/>
      <c r="E43" s="42"/>
      <c r="F43" s="42"/>
      <c r="G43" s="42"/>
      <c r="H43" s="42"/>
      <c r="I43" s="47"/>
      <c r="J43" s="47"/>
      <c r="K43" s="47"/>
      <c r="L43" s="47"/>
      <c r="M43" s="47"/>
      <c r="N43" s="55"/>
      <c r="O43" s="55"/>
      <c r="P43" s="55"/>
      <c r="Q43" s="55"/>
      <c r="R43" s="55"/>
    </row>
    <row r="44" spans="2:18" x14ac:dyDescent="0.25">
      <c r="C44" s="1" t="s">
        <v>102</v>
      </c>
      <c r="D44" s="42">
        <f>D21/D13</f>
        <v>-5.1271524733622197E-2</v>
      </c>
      <c r="E44" s="42">
        <f>E21/E13</f>
        <v>-0.11550362012958905</v>
      </c>
      <c r="F44" s="42">
        <f>F21/F13</f>
        <v>-6.9424344677691627E-3</v>
      </c>
      <c r="G44" s="42">
        <f>G21/G13</f>
        <v>-6.2892884226072388E-3</v>
      </c>
      <c r="H44" s="42">
        <f>H21/H13</f>
        <v>3.1666117745583347E-3</v>
      </c>
      <c r="I44" s="47">
        <f ca="1">'Rev Build'!I37</f>
        <v>3.1666117745583347E-3</v>
      </c>
      <c r="J44" s="47">
        <f ca="1">'Rev Build'!J37</f>
        <v>3.1666117745583347E-3</v>
      </c>
      <c r="K44" s="47">
        <f ca="1">'Rev Build'!K37</f>
        <v>3.1666117745583347E-3</v>
      </c>
      <c r="L44" s="47">
        <f ca="1">'Rev Build'!L37</f>
        <v>3.1666117745583347E-3</v>
      </c>
      <c r="M44" s="47">
        <f ca="1">'Rev Build'!M37</f>
        <v>3.1666117745583347E-3</v>
      </c>
      <c r="N44" s="47">
        <f ca="1">'Rev Build'!N37</f>
        <v>3.1666117745583347E-3</v>
      </c>
      <c r="O44" s="47">
        <f ca="1">'Rev Build'!O37</f>
        <v>3.1666117745583347E-3</v>
      </c>
      <c r="P44" s="47">
        <f ca="1">'Rev Build'!P37</f>
        <v>3.1666117745583347E-3</v>
      </c>
      <c r="Q44" s="47">
        <f ca="1">'Rev Build'!Q37</f>
        <v>3.1666117745583347E-3</v>
      </c>
      <c r="R44" s="47">
        <f ca="1">'Rev Build'!R37</f>
        <v>3.1666117745583347E-3</v>
      </c>
    </row>
    <row r="45" spans="2:18" x14ac:dyDescent="0.25">
      <c r="C45" s="1" t="s">
        <v>161</v>
      </c>
      <c r="D45" s="67">
        <f>-D23/D22</f>
        <v>-6.527204018882525E-2</v>
      </c>
      <c r="E45" s="67">
        <f t="shared" ref="E45:H45" si="20">-E23/E22</f>
        <v>-2.7884341060363905E-2</v>
      </c>
      <c r="F45" s="67">
        <f t="shared" si="20"/>
        <v>8.3157943574408144E-2</v>
      </c>
      <c r="G45" s="67">
        <f t="shared" si="20"/>
        <v>4.3450885474055193E-2</v>
      </c>
      <c r="H45" s="67">
        <f t="shared" si="20"/>
        <v>1.3710895830014818E-2</v>
      </c>
      <c r="I45" s="67">
        <v>0.22919999999999999</v>
      </c>
      <c r="J45" s="67">
        <v>0.2288</v>
      </c>
      <c r="K45" s="67">
        <v>0.22570000000000001</v>
      </c>
      <c r="L45" s="67">
        <v>0.22</v>
      </c>
      <c r="M45" s="67">
        <v>0.22</v>
      </c>
      <c r="N45" s="67">
        <v>0.21</v>
      </c>
      <c r="O45" s="67">
        <v>0.21</v>
      </c>
      <c r="P45" s="67">
        <v>0.21</v>
      </c>
      <c r="Q45" s="67">
        <v>0.21</v>
      </c>
      <c r="R45" s="67">
        <v>0.21</v>
      </c>
    </row>
    <row r="46" spans="2:18" x14ac:dyDescent="0.25"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8" spans="2:18" x14ac:dyDescent="0.25">
      <c r="B48" s="1" t="s">
        <v>33</v>
      </c>
      <c r="C48" s="6" t="s">
        <v>40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/>
    </row>
    <row r="49" spans="3:21" x14ac:dyDescent="0.25">
      <c r="C49" s="11" t="s">
        <v>17</v>
      </c>
      <c r="D49" s="26">
        <v>2021</v>
      </c>
      <c r="E49" s="26">
        <v>2022</v>
      </c>
      <c r="F49" s="26">
        <v>2023</v>
      </c>
      <c r="G49" s="26">
        <v>2024</v>
      </c>
      <c r="H49" s="26">
        <v>2025</v>
      </c>
      <c r="I49" s="27">
        <v>2026</v>
      </c>
      <c r="J49" s="27">
        <v>2027</v>
      </c>
      <c r="K49" s="27">
        <v>2028</v>
      </c>
      <c r="L49" s="27">
        <v>2029</v>
      </c>
      <c r="M49" s="27">
        <v>2030</v>
      </c>
      <c r="N49" s="27">
        <v>2031</v>
      </c>
      <c r="O49" s="27">
        <v>2032</v>
      </c>
      <c r="P49" s="27">
        <v>2033</v>
      </c>
      <c r="Q49" s="27">
        <v>2034</v>
      </c>
      <c r="R49" s="27">
        <v>2035</v>
      </c>
    </row>
    <row r="50" spans="3:21" x14ac:dyDescent="0.25">
      <c r="C50" s="12" t="s">
        <v>18</v>
      </c>
      <c r="D50" s="28">
        <v>44561</v>
      </c>
      <c r="E50" s="28">
        <f>EOMONTH(D50,12)</f>
        <v>44926</v>
      </c>
      <c r="F50" s="28">
        <f>EOMONTH(E50,12)</f>
        <v>45291</v>
      </c>
      <c r="G50" s="28">
        <f t="shared" ref="G50:R50" si="21">EOMONTH(F50,12)</f>
        <v>45657</v>
      </c>
      <c r="H50" s="28">
        <f t="shared" si="21"/>
        <v>46022</v>
      </c>
      <c r="I50" s="28">
        <f t="shared" si="21"/>
        <v>46387</v>
      </c>
      <c r="J50" s="28">
        <f t="shared" si="21"/>
        <v>46752</v>
      </c>
      <c r="K50" s="28">
        <f t="shared" si="21"/>
        <v>47118</v>
      </c>
      <c r="L50" s="28">
        <f t="shared" si="21"/>
        <v>47483</v>
      </c>
      <c r="M50" s="28">
        <f t="shared" si="21"/>
        <v>47848</v>
      </c>
      <c r="N50" s="28">
        <f t="shared" si="21"/>
        <v>48213</v>
      </c>
      <c r="O50" s="28">
        <f t="shared" si="21"/>
        <v>48579</v>
      </c>
      <c r="P50" s="28">
        <f t="shared" si="21"/>
        <v>48944</v>
      </c>
      <c r="Q50" s="28">
        <f t="shared" si="21"/>
        <v>49309</v>
      </c>
      <c r="R50" s="28">
        <f t="shared" si="21"/>
        <v>49674</v>
      </c>
    </row>
    <row r="52" spans="3:21" x14ac:dyDescent="0.25">
      <c r="C52" s="1" t="s">
        <v>131</v>
      </c>
      <c r="D52" s="36">
        <v>2601067</v>
      </c>
      <c r="E52" s="36">
        <v>2633675</v>
      </c>
      <c r="F52" s="36">
        <v>3674179</v>
      </c>
      <c r="G52" s="36">
        <v>5229987</v>
      </c>
      <c r="H52" s="36">
        <v>7177043</v>
      </c>
      <c r="I52" s="53">
        <f ca="1">I108</f>
        <v>9633508.3800544329</v>
      </c>
      <c r="J52" s="53">
        <f t="shared" ref="J52:R52" ca="1" si="22">J108</f>
        <v>13250455.132056419</v>
      </c>
      <c r="K52" s="53">
        <f t="shared" ca="1" si="22"/>
        <v>18488610.49934347</v>
      </c>
      <c r="L52" s="53">
        <f t="shared" ca="1" si="22"/>
        <v>26005418.981034409</v>
      </c>
      <c r="M52" s="53">
        <f t="shared" ca="1" si="22"/>
        <v>36570029.276698686</v>
      </c>
      <c r="N52" s="53">
        <f t="shared" ca="1" si="22"/>
        <v>51271034.23639074</v>
      </c>
      <c r="O52" s="53">
        <f t="shared" ca="1" si="22"/>
        <v>71085734.052569181</v>
      </c>
      <c r="P52" s="53">
        <f t="shared" ca="1" si="22"/>
        <v>97107059.58942616</v>
      </c>
      <c r="Q52" s="53">
        <f t="shared" ca="1" si="22"/>
        <v>130302067.79789074</v>
      </c>
      <c r="R52" s="53">
        <f t="shared" ca="1" si="22"/>
        <v>171335421.43180922</v>
      </c>
      <c r="T52" s="34"/>
    </row>
    <row r="53" spans="3:21" x14ac:dyDescent="0.25">
      <c r="C53" s="1" t="s">
        <v>42</v>
      </c>
      <c r="D53" s="36">
        <v>190923</v>
      </c>
      <c r="E53" s="36">
        <v>258346</v>
      </c>
      <c r="F53" s="36">
        <v>364784</v>
      </c>
      <c r="G53" s="36">
        <v>575048</v>
      </c>
      <c r="H53" s="36">
        <v>1042065</v>
      </c>
      <c r="I53" s="53">
        <f ca="1">I118</f>
        <v>1464958.4006140353</v>
      </c>
      <c r="J53" s="53">
        <f t="shared" ref="J53:R53" ca="1" si="23">J118</f>
        <v>2056229.4152530693</v>
      </c>
      <c r="K53" s="53">
        <f t="shared" ca="1" si="23"/>
        <v>2868062.8384562009</v>
      </c>
      <c r="L53" s="53">
        <f t="shared" ca="1" si="23"/>
        <v>3957422.2788140485</v>
      </c>
      <c r="M53" s="53">
        <f t="shared" ca="1" si="23"/>
        <v>5378733.3606552556</v>
      </c>
      <c r="N53" s="53">
        <f t="shared" ca="1" si="23"/>
        <v>7172057.7404250652</v>
      </c>
      <c r="O53" s="53">
        <f t="shared" ca="1" si="23"/>
        <v>9347084.4713663571</v>
      </c>
      <c r="P53" s="53">
        <f t="shared" ca="1" si="23"/>
        <v>11864966.699933477</v>
      </c>
      <c r="Q53" s="53">
        <f t="shared" ca="1" si="23"/>
        <v>14622113.869782535</v>
      </c>
      <c r="R53" s="53">
        <f t="shared" ca="1" si="23"/>
        <v>17441831.96784528</v>
      </c>
    </row>
    <row r="54" spans="3:21" x14ac:dyDescent="0.25">
      <c r="C54" s="1" t="s">
        <v>41</v>
      </c>
      <c r="D54" s="36">
        <v>110872</v>
      </c>
      <c r="E54" s="36">
        <v>149556</v>
      </c>
      <c r="F54" s="36">
        <v>99655</v>
      </c>
      <c r="G54" s="36">
        <v>129254</v>
      </c>
      <c r="H54" s="36">
        <v>139066</v>
      </c>
      <c r="I54" s="53">
        <f ca="1">I128</f>
        <v>195502.1087358192</v>
      </c>
      <c r="J54" s="53">
        <f t="shared" ref="J54:R54" ca="1" si="24">J128</f>
        <v>274408.60201770841</v>
      </c>
      <c r="K54" s="53">
        <f t="shared" ca="1" si="24"/>
        <v>382749.66215423221</v>
      </c>
      <c r="L54" s="53">
        <f t="shared" ca="1" si="24"/>
        <v>528127.21531339642</v>
      </c>
      <c r="M54" s="53">
        <f t="shared" ca="1" si="24"/>
        <v>717804.48775545077</v>
      </c>
      <c r="N54" s="53">
        <f t="shared" ca="1" si="24"/>
        <v>957127.80078973202</v>
      </c>
      <c r="O54" s="53">
        <f t="shared" ca="1" si="24"/>
        <v>1247390.1811259699</v>
      </c>
      <c r="P54" s="53">
        <f t="shared" ca="1" si="24"/>
        <v>1583407.4257296319</v>
      </c>
      <c r="Q54" s="53">
        <f t="shared" ca="1" si="24"/>
        <v>1951355.1337154382</v>
      </c>
      <c r="R54" s="53">
        <f t="shared" ca="1" si="24"/>
        <v>2327653.0777258347</v>
      </c>
    </row>
    <row r="55" spans="3:21" x14ac:dyDescent="0.25">
      <c r="C55" s="1" t="s">
        <v>43</v>
      </c>
      <c r="D55" s="36">
        <v>31304</v>
      </c>
      <c r="E55" s="36">
        <v>69170</v>
      </c>
      <c r="F55" s="36">
        <v>47758</v>
      </c>
      <c r="G55" s="36">
        <v>39638</v>
      </c>
      <c r="H55" s="36">
        <v>51960</v>
      </c>
      <c r="I55" s="53">
        <f ca="1">I183</f>
        <v>80798.637601798691</v>
      </c>
      <c r="J55" s="53">
        <f t="shared" ref="J55:R55" ca="1" si="25">J183</f>
        <v>122736.44209345229</v>
      </c>
      <c r="K55" s="53">
        <f t="shared" ca="1" si="25"/>
        <v>180195.27710449474</v>
      </c>
      <c r="L55" s="53">
        <f t="shared" ca="1" si="25"/>
        <v>256439.68078324621</v>
      </c>
      <c r="M55" s="53">
        <f t="shared" ca="1" si="25"/>
        <v>355161.65114575147</v>
      </c>
      <c r="N55" s="53">
        <f t="shared" ca="1" si="25"/>
        <v>479770.46357883111</v>
      </c>
      <c r="O55" s="53">
        <f t="shared" ca="1" si="25"/>
        <v>632319.3612101957</v>
      </c>
      <c r="P55" s="53">
        <f t="shared" ca="1" si="25"/>
        <v>813216.08589993312</v>
      </c>
      <c r="Q55" s="53">
        <f t="shared" ca="1" si="25"/>
        <v>1022645.8375608992</v>
      </c>
      <c r="R55" s="53">
        <f t="shared" ca="1" si="25"/>
        <v>1252292.1557101095</v>
      </c>
      <c r="T55" s="34"/>
      <c r="U55" s="34"/>
    </row>
    <row r="56" spans="3:21" x14ac:dyDescent="0.25">
      <c r="C56" s="1" t="s">
        <v>44</v>
      </c>
      <c r="D56" s="36">
        <v>216898</v>
      </c>
      <c r="E56" s="36">
        <v>200240</v>
      </c>
      <c r="F56" s="36">
        <v>182863</v>
      </c>
      <c r="G56" s="36">
        <v>200740</v>
      </c>
      <c r="H56" s="36">
        <v>200105</v>
      </c>
      <c r="I56" s="53">
        <f>I64</f>
        <v>167259</v>
      </c>
      <c r="J56" s="53">
        <f t="shared" ref="J56:R56" si="26">J64</f>
        <v>116831</v>
      </c>
      <c r="K56" s="53">
        <f t="shared" si="26"/>
        <v>87276</v>
      </c>
      <c r="L56" s="53">
        <f t="shared" si="26"/>
        <v>62333</v>
      </c>
      <c r="M56" s="53">
        <f t="shared" si="26"/>
        <v>29014</v>
      </c>
      <c r="N56" s="53">
        <f t="shared" si="26"/>
        <v>0</v>
      </c>
      <c r="O56" s="53">
        <f t="shared" si="26"/>
        <v>0</v>
      </c>
      <c r="P56" s="53">
        <f t="shared" si="26"/>
        <v>0</v>
      </c>
      <c r="Q56" s="53">
        <f t="shared" si="26"/>
        <v>0</v>
      </c>
      <c r="R56" s="53">
        <f t="shared" si="26"/>
        <v>0</v>
      </c>
    </row>
    <row r="57" spans="3:21" x14ac:dyDescent="0.25">
      <c r="C57" s="5" t="s">
        <v>45</v>
      </c>
      <c r="D57" s="37">
        <v>96386</v>
      </c>
      <c r="E57" s="37">
        <v>150252</v>
      </c>
      <c r="F57" s="37">
        <v>153186</v>
      </c>
      <c r="G57" s="37">
        <v>166217</v>
      </c>
      <c r="H57" s="37">
        <v>290153</v>
      </c>
      <c r="I57" s="35">
        <f t="shared" ref="I57:R57" ca="1" si="27">H57*(1+I37)</f>
        <v>407903.60948056425</v>
      </c>
      <c r="J57" s="35">
        <f t="shared" ca="1" si="27"/>
        <v>572537.34990036499</v>
      </c>
      <c r="K57" s="35">
        <f t="shared" ca="1" si="27"/>
        <v>798584.57655384461</v>
      </c>
      <c r="L57" s="35">
        <f t="shared" ca="1" si="27"/>
        <v>1101906.2596524521</v>
      </c>
      <c r="M57" s="35">
        <f t="shared" ca="1" si="27"/>
        <v>1497656.6920433987</v>
      </c>
      <c r="N57" s="35">
        <f t="shared" ca="1" si="27"/>
        <v>1996990.6575478052</v>
      </c>
      <c r="O57" s="35">
        <f t="shared" ca="1" si="27"/>
        <v>2602605.9800687698</v>
      </c>
      <c r="P57" s="35">
        <f t="shared" ca="1" si="27"/>
        <v>3303686.1259957855</v>
      </c>
      <c r="Q57" s="35">
        <f t="shared" ca="1" si="27"/>
        <v>4071387.2989295414</v>
      </c>
      <c r="R57" s="35">
        <f t="shared" ca="1" si="27"/>
        <v>4856510.7464181334</v>
      </c>
      <c r="T57" s="34"/>
    </row>
    <row r="58" spans="3:21" ht="15.75" thickBot="1" x14ac:dyDescent="0.3">
      <c r="C58" s="30" t="s">
        <v>46</v>
      </c>
      <c r="D58" s="40">
        <f t="shared" ref="D58:R58" si="28">SUM(D52:D57)</f>
        <v>3247450</v>
      </c>
      <c r="E58" s="40">
        <f t="shared" si="28"/>
        <v>3461239</v>
      </c>
      <c r="F58" s="40">
        <f t="shared" si="28"/>
        <v>4522425</v>
      </c>
      <c r="G58" s="40">
        <f t="shared" si="28"/>
        <v>6340884</v>
      </c>
      <c r="H58" s="40">
        <f t="shared" si="28"/>
        <v>8900392</v>
      </c>
      <c r="I58" s="40">
        <f t="shared" ca="1" si="28"/>
        <v>11949930.136486648</v>
      </c>
      <c r="J58" s="40">
        <f t="shared" ca="1" si="28"/>
        <v>16393197.941321013</v>
      </c>
      <c r="K58" s="40">
        <f t="shared" ca="1" si="28"/>
        <v>22805478.85361224</v>
      </c>
      <c r="L58" s="40">
        <f t="shared" ca="1" si="28"/>
        <v>31911647.415597551</v>
      </c>
      <c r="M58" s="40">
        <f t="shared" ca="1" si="28"/>
        <v>44548399.46829854</v>
      </c>
      <c r="N58" s="40">
        <f t="shared" ca="1" si="28"/>
        <v>61876980.898732163</v>
      </c>
      <c r="O58" s="40">
        <f t="shared" ca="1" si="28"/>
        <v>84915134.04634048</v>
      </c>
      <c r="P58" s="40">
        <f t="shared" ca="1" si="28"/>
        <v>114672335.92698498</v>
      </c>
      <c r="Q58" s="40">
        <f t="shared" ca="1" si="28"/>
        <v>151969569.93787915</v>
      </c>
      <c r="R58" s="40">
        <f t="shared" ca="1" si="28"/>
        <v>197213709.37950855</v>
      </c>
    </row>
    <row r="59" spans="3:21" ht="15.75" thickTop="1" x14ac:dyDescent="0.25">
      <c r="D59" s="34"/>
      <c r="E59" s="34"/>
      <c r="F59" s="34"/>
      <c r="G59" s="34"/>
      <c r="H59" s="34"/>
      <c r="I59" s="34"/>
      <c r="J59" s="34"/>
      <c r="K59" s="34"/>
      <c r="L59" s="34"/>
      <c r="M59" s="34"/>
      <c r="T59" s="34"/>
    </row>
    <row r="60" spans="3:21" x14ac:dyDescent="0.25">
      <c r="C60" s="1" t="s">
        <v>47</v>
      </c>
      <c r="D60" s="36">
        <v>74907</v>
      </c>
      <c r="E60" s="36">
        <v>44788</v>
      </c>
      <c r="F60" s="36">
        <v>12122</v>
      </c>
      <c r="G60" s="36">
        <v>103</v>
      </c>
      <c r="H60" s="36">
        <v>8064</v>
      </c>
      <c r="I60" s="53">
        <f ca="1">I138</f>
        <v>11336.552463187596</v>
      </c>
      <c r="J60" s="53">
        <f t="shared" ref="J60:R60" ca="1" si="29">J138</f>
        <v>15912.091860489269</v>
      </c>
      <c r="K60" s="53">
        <f t="shared" ca="1" si="29"/>
        <v>22194.449222755578</v>
      </c>
      <c r="L60" s="53">
        <f t="shared" ca="1" si="29"/>
        <v>30624.436341645174</v>
      </c>
      <c r="M60" s="53">
        <f t="shared" ca="1" si="29"/>
        <v>41623.224866322133</v>
      </c>
      <c r="N60" s="53">
        <f t="shared" ca="1" si="29"/>
        <v>55500.831156202083</v>
      </c>
      <c r="O60" s="53">
        <f t="shared" ca="1" si="29"/>
        <v>72332.233763823067</v>
      </c>
      <c r="P60" s="53">
        <f t="shared" ca="1" si="29"/>
        <v>91816.81705868979</v>
      </c>
      <c r="Q60" s="53">
        <f t="shared" ca="1" si="29"/>
        <v>113152.94750896191</v>
      </c>
      <c r="R60" s="53">
        <f t="shared" ca="1" si="29"/>
        <v>134973.28188616288</v>
      </c>
      <c r="U60" s="34"/>
    </row>
    <row r="61" spans="3:21" x14ac:dyDescent="0.25">
      <c r="C61" s="1" t="s">
        <v>48</v>
      </c>
      <c r="D61" s="36">
        <v>155806</v>
      </c>
      <c r="E61" s="36">
        <v>172715</v>
      </c>
      <c r="F61" s="36">
        <v>222991</v>
      </c>
      <c r="G61" s="36">
        <v>427046</v>
      </c>
      <c r="H61" s="36">
        <v>355624</v>
      </c>
      <c r="I61" s="53">
        <f ca="1">I148</f>
        <v>499944.21294253791</v>
      </c>
      <c r="J61" s="53">
        <f t="shared" ref="J61:R61" ca="1" si="30">J148</f>
        <v>701726.4082086602</v>
      </c>
      <c r="K61" s="53">
        <f t="shared" ca="1" si="30"/>
        <v>978779.6143840811</v>
      </c>
      <c r="L61" s="53">
        <f t="shared" ca="1" si="30"/>
        <v>1350543.718943604</v>
      </c>
      <c r="M61" s="53">
        <f t="shared" ca="1" si="30"/>
        <v>1835592.4751811684</v>
      </c>
      <c r="N61" s="53">
        <f t="shared" ca="1" si="30"/>
        <v>2447597.6660581855</v>
      </c>
      <c r="O61" s="53">
        <f t="shared" ca="1" si="30"/>
        <v>3189865.8606182802</v>
      </c>
      <c r="P61" s="53">
        <f t="shared" ca="1" si="30"/>
        <v>4049139.8499106513</v>
      </c>
      <c r="Q61" s="53">
        <f t="shared" ca="1" si="30"/>
        <v>4990067.4361268682</v>
      </c>
      <c r="R61" s="53">
        <f t="shared" ca="1" si="30"/>
        <v>5952348.5115928547</v>
      </c>
      <c r="T61" s="34"/>
      <c r="U61" s="34"/>
    </row>
    <row r="62" spans="3:21" x14ac:dyDescent="0.25">
      <c r="C62" s="1" t="s">
        <v>53</v>
      </c>
      <c r="D62" s="36">
        <v>268033</v>
      </c>
      <c r="E62" s="36">
        <v>193315</v>
      </c>
      <c r="F62" s="36">
        <v>274948</v>
      </c>
      <c r="G62" s="36">
        <v>299509</v>
      </c>
      <c r="H62" s="36">
        <v>455179</v>
      </c>
      <c r="I62" s="53">
        <f ca="1">I158</f>
        <v>639900.86974718084</v>
      </c>
      <c r="J62" s="53">
        <f t="shared" ref="J62:R62" ca="1" si="31">J158</f>
        <v>898170.89049673185</v>
      </c>
      <c r="K62" s="53">
        <f t="shared" ca="1" si="31"/>
        <v>1252783.6312952216</v>
      </c>
      <c r="L62" s="53">
        <f t="shared" ca="1" si="31"/>
        <v>1728621.0701331489</v>
      </c>
      <c r="M62" s="53">
        <f t="shared" ca="1" si="31"/>
        <v>2349456.5812782301</v>
      </c>
      <c r="N62" s="53">
        <f t="shared" ca="1" si="31"/>
        <v>3132789.2887957478</v>
      </c>
      <c r="O62" s="53">
        <f t="shared" ca="1" si="31"/>
        <v>4082851.4177062539</v>
      </c>
      <c r="P62" s="53">
        <f t="shared" ca="1" si="31"/>
        <v>5182674.4756891569</v>
      </c>
      <c r="Q62" s="53">
        <f t="shared" ca="1" si="31"/>
        <v>6387009.6098935734</v>
      </c>
      <c r="R62" s="53">
        <f t="shared" ca="1" si="31"/>
        <v>7618676.0262477379</v>
      </c>
    </row>
    <row r="63" spans="3:21" x14ac:dyDescent="0.25">
      <c r="C63" s="1" t="s">
        <v>52</v>
      </c>
      <c r="D63" s="36">
        <v>195304</v>
      </c>
      <c r="E63" s="36">
        <v>145925</v>
      </c>
      <c r="F63" s="36">
        <v>211305</v>
      </c>
      <c r="G63" s="36">
        <v>266915</v>
      </c>
      <c r="H63" s="36">
        <v>357084</v>
      </c>
      <c r="I63" s="53">
        <f ca="1">I168</f>
        <v>501996.71376052563</v>
      </c>
      <c r="J63" s="53">
        <f t="shared" ref="J63:R63" ca="1" si="32">J168</f>
        <v>704607.31769729045</v>
      </c>
      <c r="K63" s="53">
        <f t="shared" ca="1" si="32"/>
        <v>982797.95464514592</v>
      </c>
      <c r="L63" s="53">
        <f t="shared" ca="1" si="32"/>
        <v>1356088.3217534756</v>
      </c>
      <c r="M63" s="53">
        <f t="shared" ca="1" si="32"/>
        <v>1843128.4261118271</v>
      </c>
      <c r="N63" s="53">
        <f t="shared" ca="1" si="32"/>
        <v>2457646.1796355732</v>
      </c>
      <c r="O63" s="53">
        <f t="shared" ca="1" si="32"/>
        <v>3202961.7263542907</v>
      </c>
      <c r="P63" s="53">
        <f t="shared" ca="1" si="32"/>
        <v>4065763.4303801064</v>
      </c>
      <c r="Q63" s="53">
        <f t="shared" ca="1" si="32"/>
        <v>5010553.9568812186</v>
      </c>
      <c r="R63" s="53">
        <f t="shared" ca="1" si="32"/>
        <v>5976785.6385216508</v>
      </c>
    </row>
    <row r="64" spans="3:21" x14ac:dyDescent="0.25">
      <c r="C64" s="1" t="s">
        <v>51</v>
      </c>
      <c r="D64" s="36">
        <v>260073</v>
      </c>
      <c r="E64" s="36">
        <v>249404</v>
      </c>
      <c r="F64" s="36">
        <v>229392</v>
      </c>
      <c r="G64" s="36">
        <v>239219</v>
      </c>
      <c r="H64" s="36">
        <v>229338</v>
      </c>
      <c r="I64" s="36">
        <v>167259</v>
      </c>
      <c r="J64" s="36">
        <v>116831</v>
      </c>
      <c r="K64" s="36">
        <v>87276</v>
      </c>
      <c r="L64" s="36">
        <v>62333</v>
      </c>
      <c r="M64" s="36">
        <v>29014</v>
      </c>
      <c r="N64" s="36">
        <v>0</v>
      </c>
      <c r="O64" s="36">
        <v>0</v>
      </c>
      <c r="P64" s="36">
        <v>0</v>
      </c>
      <c r="Q64" s="36">
        <v>0</v>
      </c>
      <c r="R64" s="36">
        <v>0</v>
      </c>
    </row>
    <row r="65" spans="2:21" x14ac:dyDescent="0.25">
      <c r="C65" s="1" t="s">
        <v>68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53">
        <f>I236</f>
        <v>0</v>
      </c>
      <c r="J65" s="53">
        <f t="shared" ref="J65:R65" si="33">J236</f>
        <v>0</v>
      </c>
      <c r="K65" s="53">
        <f t="shared" si="33"/>
        <v>0</v>
      </c>
      <c r="L65" s="53">
        <f t="shared" si="33"/>
        <v>0</v>
      </c>
      <c r="M65" s="53">
        <f t="shared" si="33"/>
        <v>0</v>
      </c>
      <c r="N65" s="53">
        <f t="shared" si="33"/>
        <v>0</v>
      </c>
      <c r="O65" s="53">
        <f t="shared" si="33"/>
        <v>0</v>
      </c>
      <c r="P65" s="53">
        <f t="shared" si="33"/>
        <v>0</v>
      </c>
      <c r="Q65" s="53">
        <f t="shared" si="33"/>
        <v>0</v>
      </c>
      <c r="R65" s="53">
        <f t="shared" si="33"/>
        <v>0</v>
      </c>
    </row>
    <row r="66" spans="2:21" x14ac:dyDescent="0.25">
      <c r="C66" s="5" t="s">
        <v>54</v>
      </c>
      <c r="D66" s="37">
        <v>2297</v>
      </c>
      <c r="E66" s="37">
        <v>12655</v>
      </c>
      <c r="F66" s="37">
        <v>10702</v>
      </c>
      <c r="G66" s="37">
        <v>13685</v>
      </c>
      <c r="H66" s="37">
        <v>7092</v>
      </c>
      <c r="I66" s="35">
        <f t="shared" ref="I66:R66" ca="1" si="34">H66*(1+I37)</f>
        <v>9970.0930144998038</v>
      </c>
      <c r="J66" s="35">
        <f t="shared" ca="1" si="34"/>
        <v>13994.116502305294</v>
      </c>
      <c r="K66" s="35">
        <f t="shared" ca="1" si="34"/>
        <v>19519.225432512729</v>
      </c>
      <c r="L66" s="35">
        <f t="shared" ca="1" si="34"/>
        <v>26933.098032607591</v>
      </c>
      <c r="M66" s="35">
        <f t="shared" ca="1" si="34"/>
        <v>36606.139726185094</v>
      </c>
      <c r="N66" s="35">
        <f t="shared" ca="1" si="34"/>
        <v>48810.998829338438</v>
      </c>
      <c r="O66" s="35">
        <f t="shared" ca="1" si="34"/>
        <v>63613.616301219408</v>
      </c>
      <c r="P66" s="35">
        <f t="shared" ca="1" si="34"/>
        <v>80749.611431079844</v>
      </c>
      <c r="Q66" s="35">
        <f t="shared" ca="1" si="34"/>
        <v>99513.976157435231</v>
      </c>
      <c r="R66" s="35">
        <f t="shared" ca="1" si="34"/>
        <v>118704.18094452719</v>
      </c>
    </row>
    <row r="67" spans="2:21" ht="15.75" thickBot="1" x14ac:dyDescent="0.3">
      <c r="C67" s="30" t="s">
        <v>55</v>
      </c>
      <c r="D67" s="40">
        <f t="shared" ref="D67:R67" si="35">SUM(D60:D66)</f>
        <v>956420</v>
      </c>
      <c r="E67" s="40">
        <f t="shared" si="35"/>
        <v>818802</v>
      </c>
      <c r="F67" s="40">
        <f t="shared" si="35"/>
        <v>961460</v>
      </c>
      <c r="G67" s="40">
        <f t="shared" si="35"/>
        <v>1246477</v>
      </c>
      <c r="H67" s="40">
        <f t="shared" si="35"/>
        <v>1412381</v>
      </c>
      <c r="I67" s="40">
        <f t="shared" ca="1" si="35"/>
        <v>1830407.441927932</v>
      </c>
      <c r="J67" s="40">
        <f t="shared" ca="1" si="35"/>
        <v>2451241.8247654773</v>
      </c>
      <c r="K67" s="40">
        <f t="shared" ca="1" si="35"/>
        <v>3343350.8749797172</v>
      </c>
      <c r="L67" s="40">
        <f t="shared" ca="1" si="35"/>
        <v>4555143.6452044817</v>
      </c>
      <c r="M67" s="40">
        <f t="shared" ca="1" si="35"/>
        <v>6135420.8471637322</v>
      </c>
      <c r="N67" s="40">
        <f t="shared" ca="1" si="35"/>
        <v>8142344.9644750468</v>
      </c>
      <c r="O67" s="40">
        <f t="shared" ca="1" si="35"/>
        <v>10611624.854743868</v>
      </c>
      <c r="P67" s="40">
        <f t="shared" ca="1" si="35"/>
        <v>13470144.184469683</v>
      </c>
      <c r="Q67" s="40">
        <f t="shared" ca="1" si="35"/>
        <v>16600297.926568059</v>
      </c>
      <c r="R67" s="40">
        <f t="shared" ca="1" si="35"/>
        <v>19801487.639192935</v>
      </c>
    </row>
    <row r="68" spans="2:21" ht="15.75" thickTop="1" x14ac:dyDescent="0.25"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2:21" x14ac:dyDescent="0.25">
      <c r="C69" s="1" t="s">
        <v>56</v>
      </c>
      <c r="D69" s="36">
        <v>7779112</v>
      </c>
      <c r="E69" s="36">
        <v>8430097</v>
      </c>
      <c r="F69" s="36">
        <v>9124373</v>
      </c>
      <c r="G69" s="36">
        <v>10196309</v>
      </c>
      <c r="H69" s="36">
        <v>10935716</v>
      </c>
      <c r="I69" s="34">
        <f t="shared" ref="I69:R69" ca="1" si="36">H69+I33</f>
        <v>11897344.967144296</v>
      </c>
      <c r="J69" s="34">
        <f t="shared" ca="1" si="36"/>
        <v>13247096.446758142</v>
      </c>
      <c r="K69" s="34">
        <f t="shared" ca="1" si="36"/>
        <v>15129752.161687355</v>
      </c>
      <c r="L69" s="34">
        <f t="shared" ca="1" si="36"/>
        <v>17727485.924594671</v>
      </c>
      <c r="M69" s="34">
        <f t="shared" ca="1" si="36"/>
        <v>21258197.652643397</v>
      </c>
      <c r="N69" s="34">
        <f t="shared" ca="1" si="36"/>
        <v>25966084.562151134</v>
      </c>
      <c r="O69" s="34">
        <f t="shared" ca="1" si="36"/>
        <v>32101703.964205846</v>
      </c>
      <c r="P69" s="34">
        <f t="shared" ca="1" si="36"/>
        <v>39890113.292468093</v>
      </c>
      <c r="Q69" s="34">
        <f t="shared" ca="1" si="36"/>
        <v>49488370.99874261</v>
      </c>
      <c r="R69" s="34">
        <f t="shared" ca="1" si="36"/>
        <v>60937549.933320694</v>
      </c>
      <c r="S69" s="34"/>
    </row>
    <row r="70" spans="2:21" x14ac:dyDescent="0.25">
      <c r="C70" s="1" t="s">
        <v>57</v>
      </c>
      <c r="D70" s="36">
        <v>-2349</v>
      </c>
      <c r="E70" s="36">
        <v>-5333</v>
      </c>
      <c r="F70" s="36">
        <v>801</v>
      </c>
      <c r="G70" s="36">
        <v>-5611</v>
      </c>
      <c r="H70" s="36">
        <v>13942</v>
      </c>
      <c r="I70" s="53">
        <f>H70</f>
        <v>13942</v>
      </c>
      <c r="J70" s="53">
        <f t="shared" ref="J70:R70" si="37">I70</f>
        <v>13942</v>
      </c>
      <c r="K70" s="53">
        <f t="shared" si="37"/>
        <v>13942</v>
      </c>
      <c r="L70" s="53">
        <f t="shared" si="37"/>
        <v>13942</v>
      </c>
      <c r="M70" s="53">
        <f t="shared" si="37"/>
        <v>13942</v>
      </c>
      <c r="N70" s="53">
        <f t="shared" si="37"/>
        <v>13942</v>
      </c>
      <c r="O70" s="53">
        <f t="shared" si="37"/>
        <v>13942</v>
      </c>
      <c r="P70" s="53">
        <f t="shared" si="37"/>
        <v>13942</v>
      </c>
      <c r="Q70" s="53">
        <f t="shared" si="37"/>
        <v>13942</v>
      </c>
      <c r="R70" s="53">
        <f t="shared" si="37"/>
        <v>13942</v>
      </c>
    </row>
    <row r="71" spans="2:21" x14ac:dyDescent="0.25">
      <c r="C71" s="5" t="s">
        <v>58</v>
      </c>
      <c r="D71" s="37">
        <v>-5485733</v>
      </c>
      <c r="E71" s="37">
        <v>-5859438</v>
      </c>
      <c r="F71" s="37">
        <v>-5649613</v>
      </c>
      <c r="G71" s="37">
        <v>-5187423</v>
      </c>
      <c r="H71" s="37">
        <v>-3562390</v>
      </c>
      <c r="I71" s="61">
        <f ca="1">I257</f>
        <v>-1892507.2725855769</v>
      </c>
      <c r="J71" s="61">
        <f t="shared" ref="J71:R71" ca="1" si="38">J257</f>
        <v>580174.66979739489</v>
      </c>
      <c r="K71" s="61">
        <f t="shared" ca="1" si="38"/>
        <v>4217690.8169451691</v>
      </c>
      <c r="L71" s="61">
        <f t="shared" ca="1" si="38"/>
        <v>9514332.8457983993</v>
      </c>
      <c r="M71" s="61">
        <f t="shared" ca="1" si="38"/>
        <v>17040095.968491413</v>
      </c>
      <c r="N71" s="61">
        <f t="shared" ca="1" si="38"/>
        <v>27653866.372105997</v>
      </c>
      <c r="O71" s="61">
        <f t="shared" ca="1" si="38"/>
        <v>42087120.227390759</v>
      </c>
      <c r="P71" s="61">
        <f t="shared" ca="1" si="38"/>
        <v>61197393.450047202</v>
      </c>
      <c r="Q71" s="61">
        <f t="shared" ca="1" si="38"/>
        <v>85766216.012568474</v>
      </c>
      <c r="R71" s="61">
        <f t="shared" ca="1" si="38"/>
        <v>116359986.80699496</v>
      </c>
      <c r="T71" s="34"/>
      <c r="U71" s="34"/>
    </row>
    <row r="72" spans="2:21" x14ac:dyDescent="0.25">
      <c r="C72" s="1" t="s">
        <v>59</v>
      </c>
      <c r="D72" s="34">
        <f>SUM(D69:D71)</f>
        <v>2291030</v>
      </c>
      <c r="E72" s="34">
        <f>SUM(E69:E71)</f>
        <v>2565326</v>
      </c>
      <c r="F72" s="34">
        <f>SUM(F69:F71)</f>
        <v>3475561</v>
      </c>
      <c r="G72" s="34">
        <f>SUM(G69:G71)</f>
        <v>5003275</v>
      </c>
      <c r="H72" s="34">
        <f>SUM(H69:H71)</f>
        <v>7387268</v>
      </c>
      <c r="I72" s="34">
        <f t="shared" ref="I72:R72" ca="1" si="39">SUM(I69:I71)</f>
        <v>10018779.694558719</v>
      </c>
      <c r="J72" s="34">
        <f t="shared" ca="1" si="39"/>
        <v>13841213.116555536</v>
      </c>
      <c r="K72" s="34">
        <f t="shared" ca="1" si="39"/>
        <v>19361384.978632525</v>
      </c>
      <c r="L72" s="34">
        <f t="shared" ca="1" si="39"/>
        <v>27255760.77039307</v>
      </c>
      <c r="M72" s="34">
        <f t="shared" ca="1" si="39"/>
        <v>38312235.62113481</v>
      </c>
      <c r="N72" s="34">
        <f t="shared" ca="1" si="39"/>
        <v>53633892.934257135</v>
      </c>
      <c r="O72" s="34">
        <f t="shared" ca="1" si="39"/>
        <v>74202766.191596597</v>
      </c>
      <c r="P72" s="34">
        <f t="shared" ca="1" si="39"/>
        <v>101101448.7425153</v>
      </c>
      <c r="Q72" s="34">
        <f t="shared" ca="1" si="39"/>
        <v>135268529.01131108</v>
      </c>
      <c r="R72" s="34">
        <f t="shared" ca="1" si="39"/>
        <v>177311478.74031565</v>
      </c>
    </row>
    <row r="73" spans="2:21" x14ac:dyDescent="0.25">
      <c r="C73" s="5" t="s">
        <v>60</v>
      </c>
      <c r="D73" s="37">
        <v>0</v>
      </c>
      <c r="E73" s="37">
        <v>77111</v>
      </c>
      <c r="F73" s="37">
        <v>85404</v>
      </c>
      <c r="G73" s="37">
        <v>91132</v>
      </c>
      <c r="H73" s="37">
        <v>100743</v>
      </c>
      <c r="I73" s="61">
        <f>H73</f>
        <v>100743</v>
      </c>
      <c r="J73" s="61">
        <f t="shared" ref="J73:R73" si="40">I73</f>
        <v>100743</v>
      </c>
      <c r="K73" s="61">
        <f t="shared" si="40"/>
        <v>100743</v>
      </c>
      <c r="L73" s="61">
        <f t="shared" si="40"/>
        <v>100743</v>
      </c>
      <c r="M73" s="61">
        <f t="shared" si="40"/>
        <v>100743</v>
      </c>
      <c r="N73" s="61">
        <f t="shared" si="40"/>
        <v>100743</v>
      </c>
      <c r="O73" s="61">
        <f t="shared" si="40"/>
        <v>100743</v>
      </c>
      <c r="P73" s="61">
        <f t="shared" si="40"/>
        <v>100743</v>
      </c>
      <c r="Q73" s="61">
        <f t="shared" si="40"/>
        <v>100743</v>
      </c>
      <c r="R73" s="61">
        <f t="shared" si="40"/>
        <v>100743</v>
      </c>
    </row>
    <row r="74" spans="2:21" ht="15.75" thickBot="1" x14ac:dyDescent="0.3">
      <c r="C74" s="30" t="s">
        <v>61</v>
      </c>
      <c r="D74" s="40">
        <f>SUM(D72:D73)</f>
        <v>2291030</v>
      </c>
      <c r="E74" s="40">
        <f>SUM(E72:E73)</f>
        <v>2642437</v>
      </c>
      <c r="F74" s="40">
        <f>SUM(F72:F73)</f>
        <v>3560965</v>
      </c>
      <c r="G74" s="40">
        <f>SUM(G72:G73)</f>
        <v>5094407</v>
      </c>
      <c r="H74" s="40">
        <f>SUM(H72:H73)</f>
        <v>7488011</v>
      </c>
      <c r="I74" s="40">
        <f t="shared" ref="I74:R74" ca="1" si="41">SUM(I72:I73)</f>
        <v>10119522.694558719</v>
      </c>
      <c r="J74" s="40">
        <f t="shared" ca="1" si="41"/>
        <v>13941956.116555536</v>
      </c>
      <c r="K74" s="40">
        <f t="shared" ca="1" si="41"/>
        <v>19462127.978632525</v>
      </c>
      <c r="L74" s="40">
        <f t="shared" ca="1" si="41"/>
        <v>27356503.77039307</v>
      </c>
      <c r="M74" s="40">
        <f t="shared" ca="1" si="41"/>
        <v>38412978.62113481</v>
      </c>
      <c r="N74" s="40">
        <f t="shared" ca="1" si="41"/>
        <v>53734635.934257135</v>
      </c>
      <c r="O74" s="40">
        <f t="shared" ca="1" si="41"/>
        <v>74303509.191596597</v>
      </c>
      <c r="P74" s="40">
        <f t="shared" ca="1" si="41"/>
        <v>101202191.7425153</v>
      </c>
      <c r="Q74" s="40">
        <f t="shared" ca="1" si="41"/>
        <v>135369272.01131108</v>
      </c>
      <c r="R74" s="40">
        <f t="shared" ca="1" si="41"/>
        <v>177412221.74031565</v>
      </c>
    </row>
    <row r="75" spans="2:21" ht="15.75" thickTop="1" x14ac:dyDescent="0.25"/>
    <row r="76" spans="2:21" x14ac:dyDescent="0.25">
      <c r="C76" s="29" t="s">
        <v>62</v>
      </c>
      <c r="D76" s="75">
        <f t="shared" ref="D76:R76" si="42">D58-D67-D74</f>
        <v>0</v>
      </c>
      <c r="E76" s="75">
        <f t="shared" si="42"/>
        <v>0</v>
      </c>
      <c r="F76" s="75">
        <f t="shared" si="42"/>
        <v>0</v>
      </c>
      <c r="G76" s="75">
        <f t="shared" si="42"/>
        <v>0</v>
      </c>
      <c r="H76" s="75">
        <f t="shared" si="42"/>
        <v>0</v>
      </c>
      <c r="I76" s="75">
        <f t="shared" ca="1" si="42"/>
        <v>0</v>
      </c>
      <c r="J76" s="75">
        <f t="shared" ca="1" si="42"/>
        <v>0</v>
      </c>
      <c r="K76" s="75">
        <f t="shared" ca="1" si="42"/>
        <v>0</v>
      </c>
      <c r="L76" s="75">
        <f t="shared" ca="1" si="42"/>
        <v>0</v>
      </c>
      <c r="M76" s="75">
        <f t="shared" ca="1" si="42"/>
        <v>0</v>
      </c>
      <c r="N76" s="75">
        <f t="shared" ca="1" si="42"/>
        <v>0</v>
      </c>
      <c r="O76" s="75">
        <f t="shared" ca="1" si="42"/>
        <v>0</v>
      </c>
      <c r="P76" s="75">
        <f t="shared" ca="1" si="42"/>
        <v>0</v>
      </c>
      <c r="Q76" s="75">
        <f t="shared" ca="1" si="42"/>
        <v>0</v>
      </c>
      <c r="R76" s="75">
        <f t="shared" ca="1" si="42"/>
        <v>0</v>
      </c>
    </row>
    <row r="79" spans="2:21" x14ac:dyDescent="0.25">
      <c r="B79" s="1" t="s">
        <v>33</v>
      </c>
      <c r="C79" s="6" t="s">
        <v>63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/>
    </row>
    <row r="80" spans="2:21" x14ac:dyDescent="0.25">
      <c r="C80" s="11" t="s">
        <v>17</v>
      </c>
      <c r="D80" s="26">
        <v>2021</v>
      </c>
      <c r="E80" s="26">
        <v>2022</v>
      </c>
      <c r="F80" s="26">
        <v>2023</v>
      </c>
      <c r="G80" s="26">
        <v>2024</v>
      </c>
      <c r="H80" s="26">
        <v>2025</v>
      </c>
      <c r="I80" s="27">
        <v>2026</v>
      </c>
      <c r="J80" s="27">
        <v>2027</v>
      </c>
      <c r="K80" s="27">
        <v>2028</v>
      </c>
      <c r="L80" s="27">
        <v>2029</v>
      </c>
      <c r="M80" s="27">
        <v>2030</v>
      </c>
      <c r="N80" s="27">
        <v>2031</v>
      </c>
      <c r="O80" s="27">
        <v>2032</v>
      </c>
      <c r="P80" s="27">
        <v>2033</v>
      </c>
      <c r="Q80" s="27">
        <v>2034</v>
      </c>
      <c r="R80" s="27">
        <v>2035</v>
      </c>
    </row>
    <row r="81" spans="3:21" x14ac:dyDescent="0.25">
      <c r="C81" s="12" t="s">
        <v>18</v>
      </c>
      <c r="D81" s="28">
        <v>44561</v>
      </c>
      <c r="E81" s="28">
        <f>EOMONTH(D81,12)</f>
        <v>44926</v>
      </c>
      <c r="F81" s="28">
        <f>EOMONTH(E81,12)</f>
        <v>45291</v>
      </c>
      <c r="G81" s="28">
        <f t="shared" ref="G81:R81" si="43">EOMONTH(F81,12)</f>
        <v>45657</v>
      </c>
      <c r="H81" s="28">
        <f t="shared" si="43"/>
        <v>46022</v>
      </c>
      <c r="I81" s="28">
        <f t="shared" si="43"/>
        <v>46387</v>
      </c>
      <c r="J81" s="28">
        <f t="shared" si="43"/>
        <v>46752</v>
      </c>
      <c r="K81" s="28">
        <f t="shared" si="43"/>
        <v>47118</v>
      </c>
      <c r="L81" s="28">
        <f t="shared" si="43"/>
        <v>47483</v>
      </c>
      <c r="M81" s="28">
        <f t="shared" si="43"/>
        <v>47848</v>
      </c>
      <c r="N81" s="28">
        <f t="shared" si="43"/>
        <v>48213</v>
      </c>
      <c r="O81" s="28">
        <f t="shared" si="43"/>
        <v>48579</v>
      </c>
      <c r="P81" s="28">
        <f t="shared" si="43"/>
        <v>48944</v>
      </c>
      <c r="Q81" s="28">
        <f t="shared" si="43"/>
        <v>49309</v>
      </c>
      <c r="R81" s="28">
        <f t="shared" si="43"/>
        <v>49674</v>
      </c>
    </row>
    <row r="83" spans="3:21" x14ac:dyDescent="0.25">
      <c r="C83" s="1" t="s">
        <v>32</v>
      </c>
      <c r="I83" s="53">
        <f ca="1">I26</f>
        <v>1744867.7274144231</v>
      </c>
      <c r="J83" s="53">
        <f t="shared" ref="J83:R83" ca="1" si="44">J26</f>
        <v>2547666.9423829718</v>
      </c>
      <c r="K83" s="53">
        <f t="shared" ca="1" si="44"/>
        <v>3712501.1471477742</v>
      </c>
      <c r="L83" s="53">
        <f t="shared" ca="1" si="44"/>
        <v>5371627.0288532311</v>
      </c>
      <c r="M83" s="53">
        <f t="shared" ca="1" si="44"/>
        <v>7600748.1226930153</v>
      </c>
      <c r="N83" s="53">
        <f t="shared" ca="1" si="44"/>
        <v>10688755.403614584</v>
      </c>
      <c r="O83" s="53">
        <f t="shared" ca="1" si="44"/>
        <v>14508238.85528476</v>
      </c>
      <c r="P83" s="53">
        <f t="shared" ca="1" si="44"/>
        <v>19185258.222656444</v>
      </c>
      <c r="Q83" s="53">
        <f t="shared" ca="1" si="44"/>
        <v>24643807.562521279</v>
      </c>
      <c r="R83" s="53">
        <f t="shared" ca="1" si="44"/>
        <v>30668755.794426486</v>
      </c>
    </row>
    <row r="84" spans="3:21" x14ac:dyDescent="0.25">
      <c r="C84" s="1" t="s">
        <v>36</v>
      </c>
      <c r="I84" s="53">
        <f ca="1">I210</f>
        <v>25239.135662268425</v>
      </c>
      <c r="J84" s="53">
        <f t="shared" ref="J84:R84" ca="1" si="45">J210</f>
        <v>33966.267631044902</v>
      </c>
      <c r="K84" s="53">
        <f t="shared" ca="1" si="45"/>
        <v>48413.421716603792</v>
      </c>
      <c r="L84" s="53">
        <f t="shared" ca="1" si="45"/>
        <v>69840.689668726889</v>
      </c>
      <c r="M84" s="53">
        <f t="shared" ca="1" si="45"/>
        <v>99829.690219440934</v>
      </c>
      <c r="N84" s="53">
        <f t="shared" ca="1" si="45"/>
        <v>140141.99015690378</v>
      </c>
      <c r="O84" s="53">
        <f t="shared" ca="1" si="45"/>
        <v>192491.28542828117</v>
      </c>
      <c r="P84" s="53">
        <f t="shared" ca="1" si="45"/>
        <v>257089.07662432757</v>
      </c>
      <c r="Q84" s="53">
        <f t="shared" ca="1" si="45"/>
        <v>330333.9427620545</v>
      </c>
      <c r="R84" s="53">
        <f t="shared" ca="1" si="45"/>
        <v>414205.02539184014</v>
      </c>
    </row>
    <row r="85" spans="3:21" x14ac:dyDescent="0.25">
      <c r="C85" s="1" t="s">
        <v>38</v>
      </c>
      <c r="I85" s="53">
        <f ca="1">I33</f>
        <v>961628.96714429557</v>
      </c>
      <c r="J85" s="53">
        <f t="shared" ref="J85:R85" ca="1" si="46">J33</f>
        <v>1349751.4796138462</v>
      </c>
      <c r="K85" s="53">
        <f t="shared" ca="1" si="46"/>
        <v>1882655.7149292128</v>
      </c>
      <c r="L85" s="53">
        <f t="shared" ca="1" si="46"/>
        <v>2597733.7629073132</v>
      </c>
      <c r="M85" s="53">
        <f t="shared" ca="1" si="46"/>
        <v>3530711.728048726</v>
      </c>
      <c r="N85" s="53">
        <f t="shared" ca="1" si="46"/>
        <v>4707886.9095077347</v>
      </c>
      <c r="O85" s="53">
        <f t="shared" ca="1" si="46"/>
        <v>6135619.4020547112</v>
      </c>
      <c r="P85" s="53">
        <f t="shared" ca="1" si="46"/>
        <v>7788409.3282622444</v>
      </c>
      <c r="Q85" s="53">
        <f t="shared" ca="1" si="46"/>
        <v>9598257.7062745187</v>
      </c>
      <c r="R85" s="53">
        <f t="shared" ca="1" si="46"/>
        <v>11449178.934578082</v>
      </c>
    </row>
    <row r="86" spans="3:21" x14ac:dyDescent="0.25">
      <c r="C86" s="1" t="s">
        <v>65</v>
      </c>
      <c r="T86" s="34"/>
      <c r="U86" s="34"/>
    </row>
    <row r="87" spans="3:21" x14ac:dyDescent="0.25">
      <c r="C87" s="1" t="s">
        <v>42</v>
      </c>
      <c r="I87" s="34">
        <f ca="1">H53-I53</f>
        <v>-422893.40061403532</v>
      </c>
      <c r="J87" s="34">
        <f t="shared" ref="J87:R87" ca="1" si="47">I53-J53</f>
        <v>-591271.01463903394</v>
      </c>
      <c r="K87" s="34">
        <f t="shared" ca="1" si="47"/>
        <v>-811833.42320313165</v>
      </c>
      <c r="L87" s="34">
        <f t="shared" ca="1" si="47"/>
        <v>-1089359.4403578476</v>
      </c>
      <c r="M87" s="34">
        <f t="shared" ca="1" si="47"/>
        <v>-1421311.0818412071</v>
      </c>
      <c r="N87" s="34">
        <f t="shared" ca="1" si="47"/>
        <v>-1793324.3797698095</v>
      </c>
      <c r="O87" s="34">
        <f t="shared" ca="1" si="47"/>
        <v>-2175026.7309412919</v>
      </c>
      <c r="P87" s="34">
        <f t="shared" ca="1" si="47"/>
        <v>-2517882.2285671197</v>
      </c>
      <c r="Q87" s="34">
        <f t="shared" ca="1" si="47"/>
        <v>-2757147.1698490586</v>
      </c>
      <c r="R87" s="34">
        <f t="shared" ca="1" si="47"/>
        <v>-2819718.0980627444</v>
      </c>
    </row>
    <row r="88" spans="3:21" x14ac:dyDescent="0.25">
      <c r="C88" s="1" t="s">
        <v>41</v>
      </c>
      <c r="I88" s="34">
        <f ca="1">H54-I54</f>
        <v>-56436.108735819202</v>
      </c>
      <c r="J88" s="34">
        <f t="shared" ref="J88:R88" ca="1" si="48">I54-J54</f>
        <v>-78906.493281889212</v>
      </c>
      <c r="K88" s="34">
        <f t="shared" ca="1" si="48"/>
        <v>-108341.0601365238</v>
      </c>
      <c r="L88" s="34">
        <f t="shared" ca="1" si="48"/>
        <v>-145377.55315916421</v>
      </c>
      <c r="M88" s="34">
        <f t="shared" ca="1" si="48"/>
        <v>-189677.27244205435</v>
      </c>
      <c r="N88" s="34">
        <f t="shared" ca="1" si="48"/>
        <v>-239323.31303428125</v>
      </c>
      <c r="O88" s="34">
        <f t="shared" ca="1" si="48"/>
        <v>-290262.38033623784</v>
      </c>
      <c r="P88" s="34">
        <f t="shared" ca="1" si="48"/>
        <v>-336017.24460366205</v>
      </c>
      <c r="Q88" s="34">
        <f t="shared" ca="1" si="48"/>
        <v>-367947.70798580628</v>
      </c>
      <c r="R88" s="34">
        <f t="shared" ca="1" si="48"/>
        <v>-376297.94401039649</v>
      </c>
    </row>
    <row r="89" spans="3:21" x14ac:dyDescent="0.25">
      <c r="C89" s="1" t="s">
        <v>47</v>
      </c>
      <c r="I89" s="34">
        <f ca="1">I60-H60</f>
        <v>3272.552463187596</v>
      </c>
      <c r="J89" s="34">
        <f t="shared" ref="J89:R89" ca="1" si="49">J60-I60</f>
        <v>4575.5393973016726</v>
      </c>
      <c r="K89" s="34">
        <f t="shared" ca="1" si="49"/>
        <v>6282.3573622663098</v>
      </c>
      <c r="L89" s="34">
        <f t="shared" ca="1" si="49"/>
        <v>8429.9871188895959</v>
      </c>
      <c r="M89" s="34">
        <f t="shared" ca="1" si="49"/>
        <v>10998.788524676958</v>
      </c>
      <c r="N89" s="34">
        <f t="shared" ca="1" si="49"/>
        <v>13877.60628987995</v>
      </c>
      <c r="O89" s="34">
        <f t="shared" ca="1" si="49"/>
        <v>16831.402607620985</v>
      </c>
      <c r="P89" s="34">
        <f t="shared" ca="1" si="49"/>
        <v>19484.583294866723</v>
      </c>
      <c r="Q89" s="34">
        <f t="shared" ca="1" si="49"/>
        <v>21336.130450272118</v>
      </c>
      <c r="R89" s="34">
        <f t="shared" ca="1" si="49"/>
        <v>21820.334377200968</v>
      </c>
    </row>
    <row r="90" spans="3:21" x14ac:dyDescent="0.25">
      <c r="C90" s="1" t="s">
        <v>48</v>
      </c>
      <c r="I90" s="34">
        <f ca="1">I61-H61</f>
        <v>144320.21294253791</v>
      </c>
      <c r="J90" s="34">
        <f t="shared" ref="J90:R90" ca="1" si="50">J61-I61</f>
        <v>201782.19526612229</v>
      </c>
      <c r="K90" s="34">
        <f t="shared" ca="1" si="50"/>
        <v>277053.2061754209</v>
      </c>
      <c r="L90" s="34">
        <f t="shared" ca="1" si="50"/>
        <v>371764.10455952294</v>
      </c>
      <c r="M90" s="34">
        <f t="shared" ca="1" si="50"/>
        <v>485048.75623756438</v>
      </c>
      <c r="N90" s="34">
        <f t="shared" ca="1" si="50"/>
        <v>612005.1908770171</v>
      </c>
      <c r="O90" s="34">
        <f t="shared" ca="1" si="50"/>
        <v>742268.19456009474</v>
      </c>
      <c r="P90" s="34">
        <f t="shared" ca="1" si="50"/>
        <v>859273.98929237109</v>
      </c>
      <c r="Q90" s="34">
        <f t="shared" ca="1" si="50"/>
        <v>940927.58621621691</v>
      </c>
      <c r="R90" s="34">
        <f t="shared" ca="1" si="50"/>
        <v>962281.07546598651</v>
      </c>
    </row>
    <row r="91" spans="3:21" x14ac:dyDescent="0.25">
      <c r="C91" s="1" t="s">
        <v>49</v>
      </c>
      <c r="I91" s="34">
        <f ca="1">I62-H62</f>
        <v>184721.86974718084</v>
      </c>
      <c r="J91" s="34">
        <f t="shared" ref="J91:R91" ca="1" si="51">J62-I62</f>
        <v>258270.02074955101</v>
      </c>
      <c r="K91" s="34">
        <f t="shared" ca="1" si="51"/>
        <v>354612.74079848977</v>
      </c>
      <c r="L91" s="34">
        <f t="shared" ca="1" si="51"/>
        <v>475837.4388379273</v>
      </c>
      <c r="M91" s="34">
        <f t="shared" ca="1" si="51"/>
        <v>620835.51114508114</v>
      </c>
      <c r="N91" s="34">
        <f t="shared" ca="1" si="51"/>
        <v>783332.70751751773</v>
      </c>
      <c r="O91" s="34">
        <f t="shared" ca="1" si="51"/>
        <v>950062.12891050614</v>
      </c>
      <c r="P91" s="34">
        <f t="shared" ca="1" si="51"/>
        <v>1099823.057982903</v>
      </c>
      <c r="Q91" s="34">
        <f t="shared" ca="1" si="51"/>
        <v>1204335.1342044165</v>
      </c>
      <c r="R91" s="34">
        <f t="shared" ca="1" si="51"/>
        <v>1231666.4163541645</v>
      </c>
    </row>
    <row r="92" spans="3:21" x14ac:dyDescent="0.25">
      <c r="C92" s="1" t="s">
        <v>50</v>
      </c>
      <c r="I92" s="34">
        <f ca="1">I63-H63</f>
        <v>144912.71376052563</v>
      </c>
      <c r="J92" s="34">
        <f t="shared" ref="J92:R92" ca="1" si="52">J63-I63</f>
        <v>202610.60393676482</v>
      </c>
      <c r="K92" s="34">
        <f t="shared" ca="1" si="52"/>
        <v>278190.63694785547</v>
      </c>
      <c r="L92" s="34">
        <f t="shared" ca="1" si="52"/>
        <v>373290.36710832966</v>
      </c>
      <c r="M92" s="34">
        <f t="shared" ca="1" si="52"/>
        <v>487040.10435835156</v>
      </c>
      <c r="N92" s="34">
        <f t="shared" ca="1" si="52"/>
        <v>614517.75352374604</v>
      </c>
      <c r="O92" s="34">
        <f t="shared" ca="1" si="52"/>
        <v>745315.54671871755</v>
      </c>
      <c r="P92" s="34">
        <f t="shared" ca="1" si="52"/>
        <v>862801.70402581571</v>
      </c>
      <c r="Q92" s="34">
        <f t="shared" ca="1" si="52"/>
        <v>944790.52650111215</v>
      </c>
      <c r="R92" s="34">
        <f t="shared" ca="1" si="52"/>
        <v>966231.68164043222</v>
      </c>
    </row>
    <row r="93" spans="3:21" x14ac:dyDescent="0.25">
      <c r="C93" s="1" t="s">
        <v>177</v>
      </c>
      <c r="I93" s="34">
        <f>H56-I56</f>
        <v>32846</v>
      </c>
      <c r="J93" s="34">
        <f t="shared" ref="J93:R93" si="53">I56-J56</f>
        <v>50428</v>
      </c>
      <c r="K93" s="34">
        <f t="shared" si="53"/>
        <v>29555</v>
      </c>
      <c r="L93" s="34">
        <f t="shared" si="53"/>
        <v>24943</v>
      </c>
      <c r="M93" s="34">
        <f t="shared" si="53"/>
        <v>33319</v>
      </c>
      <c r="N93" s="34">
        <f t="shared" si="53"/>
        <v>29014</v>
      </c>
      <c r="O93" s="34">
        <f t="shared" si="53"/>
        <v>0</v>
      </c>
      <c r="P93" s="34">
        <f t="shared" si="53"/>
        <v>0</v>
      </c>
      <c r="Q93" s="34">
        <f t="shared" si="53"/>
        <v>0</v>
      </c>
      <c r="R93" s="34">
        <f t="shared" si="53"/>
        <v>0</v>
      </c>
    </row>
    <row r="94" spans="3:21" x14ac:dyDescent="0.25">
      <c r="C94" s="1" t="s">
        <v>45</v>
      </c>
      <c r="I94" s="34">
        <f ca="1">-I219</f>
        <v>-124196.30554253289</v>
      </c>
      <c r="J94" s="34">
        <f t="shared" ref="J94:R94" ca="1" si="54">-J219</f>
        <v>-173680.98014950601</v>
      </c>
      <c r="K94" s="34">
        <f t="shared" ca="1" si="54"/>
        <v>-238666.46644593182</v>
      </c>
      <c r="L94" s="34">
        <f t="shared" ca="1" si="54"/>
        <v>-320734.01452549774</v>
      </c>
      <c r="M94" s="34">
        <f t="shared" ca="1" si="54"/>
        <v>-419416.4152793503</v>
      </c>
      <c r="N94" s="34">
        <f t="shared" ca="1" si="54"/>
        <v>-530890.42766353185</v>
      </c>
      <c r="O94" s="34">
        <f t="shared" ca="1" si="54"/>
        <v>-646741.72279466607</v>
      </c>
      <c r="P94" s="34">
        <f t="shared" ca="1" si="54"/>
        <v>-753285.02020951721</v>
      </c>
      <c r="Q94" s="34">
        <f t="shared" ca="1" si="54"/>
        <v>-832037.26722053543</v>
      </c>
      <c r="R94" s="34">
        <f t="shared" ca="1" si="54"/>
        <v>-861866.06869990856</v>
      </c>
    </row>
    <row r="95" spans="3:21" x14ac:dyDescent="0.25">
      <c r="C95" s="1" t="s">
        <v>51</v>
      </c>
      <c r="I95" s="34">
        <f>I64-H64</f>
        <v>-62079</v>
      </c>
      <c r="J95" s="34">
        <f t="shared" ref="J95:R95" si="55">J64-I64</f>
        <v>-50428</v>
      </c>
      <c r="K95" s="34">
        <f t="shared" si="55"/>
        <v>-29555</v>
      </c>
      <c r="L95" s="34">
        <f t="shared" si="55"/>
        <v>-24943</v>
      </c>
      <c r="M95" s="34">
        <f t="shared" si="55"/>
        <v>-33319</v>
      </c>
      <c r="N95" s="34">
        <f t="shared" si="55"/>
        <v>-29014</v>
      </c>
      <c r="O95" s="34">
        <f t="shared" si="55"/>
        <v>0</v>
      </c>
      <c r="P95" s="34">
        <f t="shared" si="55"/>
        <v>0</v>
      </c>
      <c r="Q95" s="34">
        <f t="shared" si="55"/>
        <v>0</v>
      </c>
      <c r="R95" s="34">
        <f t="shared" si="55"/>
        <v>0</v>
      </c>
    </row>
    <row r="96" spans="3:21" x14ac:dyDescent="0.25">
      <c r="C96" s="5" t="s">
        <v>54</v>
      </c>
      <c r="D96" s="5"/>
      <c r="E96" s="5"/>
      <c r="F96" s="5"/>
      <c r="G96" s="5"/>
      <c r="H96" s="5"/>
      <c r="I96" s="35">
        <f ca="1">I66-H66</f>
        <v>2878.0930144998038</v>
      </c>
      <c r="J96" s="35">
        <f t="shared" ref="J96:R96" ca="1" si="56">J66-I66</f>
        <v>4024.0234878054907</v>
      </c>
      <c r="K96" s="35">
        <f t="shared" ca="1" si="56"/>
        <v>5525.1089302074342</v>
      </c>
      <c r="L96" s="35">
        <f t="shared" ca="1" si="56"/>
        <v>7413.8726000948627</v>
      </c>
      <c r="M96" s="35">
        <f t="shared" ca="1" si="56"/>
        <v>9673.0416935775029</v>
      </c>
      <c r="N96" s="35">
        <f t="shared" ca="1" si="56"/>
        <v>12204.859103153343</v>
      </c>
      <c r="O96" s="35">
        <f t="shared" ca="1" si="56"/>
        <v>14802.617471880971</v>
      </c>
      <c r="P96" s="35">
        <f t="shared" ca="1" si="56"/>
        <v>17135.995129860436</v>
      </c>
      <c r="Q96" s="35">
        <f t="shared" ca="1" si="56"/>
        <v>18764.364726355387</v>
      </c>
      <c r="R96" s="35">
        <f t="shared" ca="1" si="56"/>
        <v>19190.204787091963</v>
      </c>
    </row>
    <row r="97" spans="2:18" x14ac:dyDescent="0.25">
      <c r="C97" s="11" t="s">
        <v>64</v>
      </c>
      <c r="I97" s="39">
        <f ca="1">SUM(I83:I96)</f>
        <v>2579082.4572565309</v>
      </c>
      <c r="J97" s="39">
        <f t="shared" ref="J97:R97" ca="1" si="57">SUM(J83:J96)</f>
        <v>3758788.5843949793</v>
      </c>
      <c r="K97" s="39">
        <f t="shared" ca="1" si="57"/>
        <v>5406393.3842222448</v>
      </c>
      <c r="L97" s="39">
        <f t="shared" ca="1" si="57"/>
        <v>7720466.2436115267</v>
      </c>
      <c r="M97" s="39">
        <f t="shared" ca="1" si="57"/>
        <v>10814480.973357821</v>
      </c>
      <c r="N97" s="39">
        <f t="shared" ca="1" si="57"/>
        <v>15009184.300122915</v>
      </c>
      <c r="O97" s="39">
        <f t="shared" ca="1" si="57"/>
        <v>20193598.598964378</v>
      </c>
      <c r="P97" s="39">
        <f t="shared" ca="1" si="57"/>
        <v>26482091.463888533</v>
      </c>
      <c r="Q97" s="39">
        <f t="shared" ca="1" si="57"/>
        <v>33745420.808600821</v>
      </c>
      <c r="R97" s="39">
        <f t="shared" ca="1" si="57"/>
        <v>41675447.356248222</v>
      </c>
    </row>
    <row r="99" spans="2:18" x14ac:dyDescent="0.25">
      <c r="C99" s="5" t="s">
        <v>66</v>
      </c>
      <c r="D99" s="5"/>
      <c r="E99" s="5"/>
      <c r="F99" s="5"/>
      <c r="G99" s="5"/>
      <c r="H99" s="5"/>
      <c r="I99" s="61">
        <f ca="1">-I181</f>
        <v>-47632.077202098473</v>
      </c>
      <c r="J99" s="61">
        <f t="shared" ref="J99:R99" ca="1" si="58">-J181</f>
        <v>-66856.832392993238</v>
      </c>
      <c r="K99" s="61">
        <f t="shared" ca="1" si="58"/>
        <v>-93253.016935194071</v>
      </c>
      <c r="L99" s="61">
        <f t="shared" ca="1" si="58"/>
        <v>-128672.76192058806</v>
      </c>
      <c r="M99" s="61">
        <f t="shared" ca="1" si="58"/>
        <v>-174885.67769354253</v>
      </c>
      <c r="N99" s="61">
        <f t="shared" ca="1" si="58"/>
        <v>-233194.34043085805</v>
      </c>
      <c r="O99" s="61">
        <f t="shared" ca="1" si="58"/>
        <v>-303913.78278594423</v>
      </c>
      <c r="P99" s="61">
        <f t="shared" ca="1" si="58"/>
        <v>-385780.92703156348</v>
      </c>
      <c r="Q99" s="61">
        <f t="shared" ca="1" si="58"/>
        <v>-475427.60013624106</v>
      </c>
      <c r="R99" s="61">
        <f t="shared" ca="1" si="58"/>
        <v>-567108.72232973378</v>
      </c>
    </row>
    <row r="100" spans="2:18" x14ac:dyDescent="0.25">
      <c r="C100" s="11" t="s">
        <v>67</v>
      </c>
      <c r="I100" s="57">
        <f ca="1">SUM(I99)</f>
        <v>-47632.077202098473</v>
      </c>
      <c r="J100" s="57">
        <f t="shared" ref="J100:R100" ca="1" si="59">SUM(J99)</f>
        <v>-66856.832392993238</v>
      </c>
      <c r="K100" s="57">
        <f t="shared" ca="1" si="59"/>
        <v>-93253.016935194071</v>
      </c>
      <c r="L100" s="57">
        <f t="shared" ca="1" si="59"/>
        <v>-128672.76192058806</v>
      </c>
      <c r="M100" s="57">
        <f t="shared" ca="1" si="59"/>
        <v>-174885.67769354253</v>
      </c>
      <c r="N100" s="57">
        <f t="shared" ca="1" si="59"/>
        <v>-233194.34043085805</v>
      </c>
      <c r="O100" s="57">
        <f t="shared" ca="1" si="59"/>
        <v>-303913.78278594423</v>
      </c>
      <c r="P100" s="57">
        <f t="shared" ca="1" si="59"/>
        <v>-385780.92703156348</v>
      </c>
      <c r="Q100" s="57">
        <f t="shared" ca="1" si="59"/>
        <v>-475427.60013624106</v>
      </c>
      <c r="R100" s="57">
        <f t="shared" ca="1" si="59"/>
        <v>-567108.72232973378</v>
      </c>
    </row>
    <row r="102" spans="2:18" x14ac:dyDescent="0.25">
      <c r="C102" s="1" t="s">
        <v>68</v>
      </c>
      <c r="I102" s="53">
        <f>I236</f>
        <v>0</v>
      </c>
      <c r="J102" s="53">
        <f t="shared" ref="J102:R102" si="60">J236</f>
        <v>0</v>
      </c>
      <c r="K102" s="53">
        <f t="shared" si="60"/>
        <v>0</v>
      </c>
      <c r="L102" s="53">
        <f t="shared" si="60"/>
        <v>0</v>
      </c>
      <c r="M102" s="53">
        <f t="shared" si="60"/>
        <v>0</v>
      </c>
      <c r="N102" s="53">
        <f t="shared" si="60"/>
        <v>0</v>
      </c>
      <c r="O102" s="53">
        <f t="shared" si="60"/>
        <v>0</v>
      </c>
      <c r="P102" s="53">
        <f t="shared" si="60"/>
        <v>0</v>
      </c>
      <c r="Q102" s="53">
        <f t="shared" si="60"/>
        <v>0</v>
      </c>
      <c r="R102" s="53">
        <f t="shared" si="60"/>
        <v>0</v>
      </c>
    </row>
    <row r="103" spans="2:18" x14ac:dyDescent="0.25">
      <c r="C103" s="5" t="s">
        <v>69</v>
      </c>
      <c r="D103" s="5"/>
      <c r="E103" s="5"/>
      <c r="F103" s="5"/>
      <c r="G103" s="5"/>
      <c r="H103" s="5"/>
      <c r="I103" s="61">
        <f>I256</f>
        <v>-74985</v>
      </c>
      <c r="J103" s="61">
        <f t="shared" ref="J103:R103" si="61">J256</f>
        <v>-74985</v>
      </c>
      <c r="K103" s="61">
        <f t="shared" si="61"/>
        <v>-74985</v>
      </c>
      <c r="L103" s="61">
        <f t="shared" si="61"/>
        <v>-74985</v>
      </c>
      <c r="M103" s="61">
        <f t="shared" si="61"/>
        <v>-74985</v>
      </c>
      <c r="N103" s="61">
        <f t="shared" si="61"/>
        <v>-74985</v>
      </c>
      <c r="O103" s="61">
        <f t="shared" si="61"/>
        <v>-74985</v>
      </c>
      <c r="P103" s="61">
        <f t="shared" si="61"/>
        <v>-74985</v>
      </c>
      <c r="Q103" s="61">
        <f t="shared" si="61"/>
        <v>-74985</v>
      </c>
      <c r="R103" s="61">
        <f t="shared" si="61"/>
        <v>-74985</v>
      </c>
    </row>
    <row r="104" spans="2:18" x14ac:dyDescent="0.25">
      <c r="C104" s="11" t="s">
        <v>70</v>
      </c>
      <c r="I104" s="39">
        <f>SUM(I102:I103)</f>
        <v>-74985</v>
      </c>
      <c r="J104" s="39">
        <f t="shared" ref="J104:R104" si="62">SUM(J102:J103)</f>
        <v>-74985</v>
      </c>
      <c r="K104" s="39">
        <f t="shared" si="62"/>
        <v>-74985</v>
      </c>
      <c r="L104" s="39">
        <f t="shared" si="62"/>
        <v>-74985</v>
      </c>
      <c r="M104" s="39">
        <f t="shared" si="62"/>
        <v>-74985</v>
      </c>
      <c r="N104" s="39">
        <f t="shared" si="62"/>
        <v>-74985</v>
      </c>
      <c r="O104" s="39">
        <f t="shared" si="62"/>
        <v>-74985</v>
      </c>
      <c r="P104" s="39">
        <f t="shared" si="62"/>
        <v>-74985</v>
      </c>
      <c r="Q104" s="39">
        <f t="shared" si="62"/>
        <v>-74985</v>
      </c>
      <c r="R104" s="39">
        <f t="shared" si="62"/>
        <v>-74985</v>
      </c>
    </row>
    <row r="105" spans="2:18" x14ac:dyDescent="0.25">
      <c r="I105" s="34"/>
      <c r="J105" s="34"/>
      <c r="K105" s="34"/>
      <c r="L105" s="34"/>
      <c r="M105" s="34"/>
      <c r="N105" s="34"/>
      <c r="O105" s="34"/>
      <c r="P105" s="34"/>
      <c r="Q105" s="34"/>
      <c r="R105" s="34"/>
    </row>
    <row r="106" spans="2:18" x14ac:dyDescent="0.25">
      <c r="C106" s="1" t="s">
        <v>71</v>
      </c>
      <c r="I106" s="34">
        <f ca="1">I97+I100+I104</f>
        <v>2456465.3800544324</v>
      </c>
      <c r="J106" s="34">
        <f t="shared" ref="J106:R106" ca="1" si="63">J97+J100+J104</f>
        <v>3616946.7520019859</v>
      </c>
      <c r="K106" s="34">
        <f t="shared" ca="1" si="63"/>
        <v>5238155.3672870509</v>
      </c>
      <c r="L106" s="34">
        <f t="shared" ca="1" si="63"/>
        <v>7516808.4816909386</v>
      </c>
      <c r="M106" s="34">
        <f t="shared" ca="1" si="63"/>
        <v>10564610.295664279</v>
      </c>
      <c r="N106" s="34">
        <f t="shared" ca="1" si="63"/>
        <v>14701004.959692057</v>
      </c>
      <c r="O106" s="34">
        <f t="shared" ca="1" si="63"/>
        <v>19814699.816178434</v>
      </c>
      <c r="P106" s="34">
        <f t="shared" ca="1" si="63"/>
        <v>26021325.536856972</v>
      </c>
      <c r="Q106" s="34">
        <f t="shared" ca="1" si="63"/>
        <v>33195008.208464578</v>
      </c>
      <c r="R106" s="34">
        <f t="shared" ca="1" si="63"/>
        <v>41033353.633918487</v>
      </c>
    </row>
    <row r="107" spans="2:18" x14ac:dyDescent="0.25">
      <c r="C107" s="5" t="s">
        <v>72</v>
      </c>
      <c r="D107" s="5"/>
      <c r="E107" s="5"/>
      <c r="F107" s="5"/>
      <c r="G107" s="5"/>
      <c r="H107" s="5"/>
      <c r="I107" s="35">
        <f t="shared" ref="I107:R107" si="64">H52</f>
        <v>7177043</v>
      </c>
      <c r="J107" s="35">
        <f t="shared" ca="1" si="64"/>
        <v>9633508.3800544329</v>
      </c>
      <c r="K107" s="35">
        <f t="shared" ca="1" si="64"/>
        <v>13250455.132056419</v>
      </c>
      <c r="L107" s="35">
        <f t="shared" ca="1" si="64"/>
        <v>18488610.49934347</v>
      </c>
      <c r="M107" s="35">
        <f t="shared" ca="1" si="64"/>
        <v>26005418.981034409</v>
      </c>
      <c r="N107" s="35">
        <f t="shared" ca="1" si="64"/>
        <v>36570029.276698686</v>
      </c>
      <c r="O107" s="35">
        <f t="shared" ca="1" si="64"/>
        <v>51271034.23639074</v>
      </c>
      <c r="P107" s="35">
        <f t="shared" ca="1" si="64"/>
        <v>71085734.052569181</v>
      </c>
      <c r="Q107" s="35">
        <f t="shared" ca="1" si="64"/>
        <v>97107059.58942616</v>
      </c>
      <c r="R107" s="35">
        <f t="shared" ca="1" si="64"/>
        <v>130302067.79789074</v>
      </c>
    </row>
    <row r="108" spans="2:18" ht="15.75" thickBot="1" x14ac:dyDescent="0.3">
      <c r="C108" s="30" t="s">
        <v>73</v>
      </c>
      <c r="D108" s="30"/>
      <c r="E108" s="30"/>
      <c r="F108" s="30"/>
      <c r="G108" s="30"/>
      <c r="H108" s="30"/>
      <c r="I108" s="40">
        <f ca="1">SUM(I106:I107)</f>
        <v>9633508.3800544329</v>
      </c>
      <c r="J108" s="40">
        <f t="shared" ref="J108:R108" ca="1" si="65">SUM(J106:J107)</f>
        <v>13250455.132056419</v>
      </c>
      <c r="K108" s="40">
        <f t="shared" ca="1" si="65"/>
        <v>18488610.49934347</v>
      </c>
      <c r="L108" s="40">
        <f t="shared" ca="1" si="65"/>
        <v>26005418.981034409</v>
      </c>
      <c r="M108" s="40">
        <f t="shared" ca="1" si="65"/>
        <v>36570029.276698686</v>
      </c>
      <c r="N108" s="40">
        <f t="shared" ca="1" si="65"/>
        <v>51271034.23639074</v>
      </c>
      <c r="O108" s="40">
        <f t="shared" ca="1" si="65"/>
        <v>71085734.052569181</v>
      </c>
      <c r="P108" s="40">
        <f t="shared" ca="1" si="65"/>
        <v>97107059.58942616</v>
      </c>
      <c r="Q108" s="40">
        <f t="shared" ca="1" si="65"/>
        <v>130302067.79789074</v>
      </c>
      <c r="R108" s="40">
        <f t="shared" ca="1" si="65"/>
        <v>171335421.43180922</v>
      </c>
    </row>
    <row r="109" spans="2:18" ht="15.75" thickTop="1" x14ac:dyDescent="0.25"/>
    <row r="111" spans="2:18" x14ac:dyDescent="0.25">
      <c r="B111" s="1" t="s">
        <v>33</v>
      </c>
      <c r="C111" s="6" t="s">
        <v>83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8"/>
    </row>
    <row r="112" spans="2:18" x14ac:dyDescent="0.25">
      <c r="C112" s="11" t="s">
        <v>17</v>
      </c>
      <c r="D112" s="26">
        <v>2021</v>
      </c>
      <c r="E112" s="26">
        <v>2022</v>
      </c>
      <c r="F112" s="26">
        <v>2023</v>
      </c>
      <c r="G112" s="26">
        <v>2024</v>
      </c>
      <c r="H112" s="26">
        <v>2025</v>
      </c>
      <c r="I112" s="27">
        <v>2026</v>
      </c>
      <c r="J112" s="27">
        <v>2027</v>
      </c>
      <c r="K112" s="27">
        <v>2028</v>
      </c>
      <c r="L112" s="27">
        <v>2029</v>
      </c>
      <c r="M112" s="27">
        <v>2030</v>
      </c>
      <c r="N112" s="27">
        <v>2031</v>
      </c>
      <c r="O112" s="27">
        <v>2032</v>
      </c>
      <c r="P112" s="27">
        <v>2033</v>
      </c>
      <c r="Q112" s="27">
        <v>2034</v>
      </c>
      <c r="R112" s="27">
        <v>2035</v>
      </c>
    </row>
    <row r="113" spans="3:18" x14ac:dyDescent="0.25">
      <c r="C113" s="12" t="s">
        <v>18</v>
      </c>
      <c r="D113" s="28">
        <v>44561</v>
      </c>
      <c r="E113" s="28">
        <f>EOMONTH(D113,12)</f>
        <v>44926</v>
      </c>
      <c r="F113" s="28">
        <f>EOMONTH(E113,12)</f>
        <v>45291</v>
      </c>
      <c r="G113" s="28">
        <f t="shared" ref="G113:R113" si="66">EOMONTH(F113,12)</f>
        <v>45657</v>
      </c>
      <c r="H113" s="28">
        <f t="shared" si="66"/>
        <v>46022</v>
      </c>
      <c r="I113" s="28">
        <f t="shared" si="66"/>
        <v>46387</v>
      </c>
      <c r="J113" s="28">
        <f t="shared" si="66"/>
        <v>46752</v>
      </c>
      <c r="K113" s="28">
        <f t="shared" si="66"/>
        <v>47118</v>
      </c>
      <c r="L113" s="28">
        <f t="shared" si="66"/>
        <v>47483</v>
      </c>
      <c r="M113" s="28">
        <f t="shared" si="66"/>
        <v>47848</v>
      </c>
      <c r="N113" s="28">
        <f t="shared" si="66"/>
        <v>48213</v>
      </c>
      <c r="O113" s="28">
        <f t="shared" si="66"/>
        <v>48579</v>
      </c>
      <c r="P113" s="28">
        <f t="shared" si="66"/>
        <v>48944</v>
      </c>
      <c r="Q113" s="28">
        <f t="shared" si="66"/>
        <v>49309</v>
      </c>
      <c r="R113" s="28">
        <f t="shared" si="66"/>
        <v>49674</v>
      </c>
    </row>
    <row r="115" spans="3:18" x14ac:dyDescent="0.25">
      <c r="C115" s="11" t="s">
        <v>42</v>
      </c>
    </row>
    <row r="116" spans="3:18" x14ac:dyDescent="0.25">
      <c r="C116" s="1" t="s">
        <v>114</v>
      </c>
      <c r="E116" s="53">
        <f>D118</f>
        <v>190923</v>
      </c>
      <c r="F116" s="53">
        <f t="shared" ref="F116:R116" si="67">E118</f>
        <v>258346</v>
      </c>
      <c r="G116" s="53">
        <f t="shared" si="67"/>
        <v>364784</v>
      </c>
      <c r="H116" s="53">
        <f t="shared" si="67"/>
        <v>575048</v>
      </c>
      <c r="I116" s="53">
        <f t="shared" si="67"/>
        <v>1042065</v>
      </c>
      <c r="J116" s="53">
        <f t="shared" ca="1" si="67"/>
        <v>1464958.4006140353</v>
      </c>
      <c r="K116" s="53">
        <f t="shared" ca="1" si="67"/>
        <v>2056229.4152530693</v>
      </c>
      <c r="L116" s="53">
        <f t="shared" ca="1" si="67"/>
        <v>2868062.8384562009</v>
      </c>
      <c r="M116" s="53">
        <f t="shared" ca="1" si="67"/>
        <v>3957422.2788140485</v>
      </c>
      <c r="N116" s="53">
        <f t="shared" ca="1" si="67"/>
        <v>5378733.3606552556</v>
      </c>
      <c r="O116" s="53">
        <f t="shared" ca="1" si="67"/>
        <v>7172057.7404250652</v>
      </c>
      <c r="P116" s="53">
        <f t="shared" ca="1" si="67"/>
        <v>9347084.4713663571</v>
      </c>
      <c r="Q116" s="53">
        <f t="shared" ca="1" si="67"/>
        <v>11864966.699933477</v>
      </c>
      <c r="R116" s="53">
        <f t="shared" ca="1" si="67"/>
        <v>14622113.869782535</v>
      </c>
    </row>
    <row r="117" spans="3:18" x14ac:dyDescent="0.25">
      <c r="C117" s="5" t="s">
        <v>112</v>
      </c>
      <c r="D117" s="5"/>
      <c r="E117" s="35">
        <f t="shared" ref="E117:R117" si="68">E118-E116</f>
        <v>67423</v>
      </c>
      <c r="F117" s="35">
        <f t="shared" si="68"/>
        <v>106438</v>
      </c>
      <c r="G117" s="35">
        <f t="shared" si="68"/>
        <v>210264</v>
      </c>
      <c r="H117" s="35">
        <f t="shared" si="68"/>
        <v>467017</v>
      </c>
      <c r="I117" s="35">
        <f t="shared" ca="1" si="68"/>
        <v>422893.40061403532</v>
      </c>
      <c r="J117" s="35">
        <f t="shared" ca="1" si="68"/>
        <v>591271.01463903394</v>
      </c>
      <c r="K117" s="35">
        <f t="shared" ca="1" si="68"/>
        <v>811833.42320313165</v>
      </c>
      <c r="L117" s="35">
        <f t="shared" ca="1" si="68"/>
        <v>1089359.4403578476</v>
      </c>
      <c r="M117" s="35">
        <f t="shared" ca="1" si="68"/>
        <v>1421311.0818412071</v>
      </c>
      <c r="N117" s="35">
        <f t="shared" ca="1" si="68"/>
        <v>1793324.3797698095</v>
      </c>
      <c r="O117" s="35">
        <f t="shared" ca="1" si="68"/>
        <v>2175026.7309412919</v>
      </c>
      <c r="P117" s="35">
        <f t="shared" ca="1" si="68"/>
        <v>2517882.2285671197</v>
      </c>
      <c r="Q117" s="35">
        <f t="shared" ca="1" si="68"/>
        <v>2757147.1698490586</v>
      </c>
      <c r="R117" s="35">
        <f t="shared" ca="1" si="68"/>
        <v>2819718.0980627444</v>
      </c>
    </row>
    <row r="118" spans="3:18" x14ac:dyDescent="0.25">
      <c r="C118" s="11" t="s">
        <v>113</v>
      </c>
      <c r="D118" s="57">
        <f>D53</f>
        <v>190923</v>
      </c>
      <c r="E118" s="57">
        <f>E53</f>
        <v>258346</v>
      </c>
      <c r="F118" s="57">
        <f>F53</f>
        <v>364784</v>
      </c>
      <c r="G118" s="57">
        <f>G53</f>
        <v>575048</v>
      </c>
      <c r="H118" s="57">
        <f>H53</f>
        <v>1042065</v>
      </c>
      <c r="I118" s="39">
        <f t="shared" ref="I118:R118" ca="1" si="69">IF($D$120=1,H118*(1+I122),2*I13*I123/365-I116)</f>
        <v>1464958.4006140353</v>
      </c>
      <c r="J118" s="39">
        <f t="shared" ca="1" si="69"/>
        <v>2056229.4152530693</v>
      </c>
      <c r="K118" s="39">
        <f t="shared" ca="1" si="69"/>
        <v>2868062.8384562009</v>
      </c>
      <c r="L118" s="39">
        <f t="shared" ca="1" si="69"/>
        <v>3957422.2788140485</v>
      </c>
      <c r="M118" s="39">
        <f t="shared" ca="1" si="69"/>
        <v>5378733.3606552556</v>
      </c>
      <c r="N118" s="39">
        <f t="shared" ca="1" si="69"/>
        <v>7172057.7404250652</v>
      </c>
      <c r="O118" s="39">
        <f t="shared" ca="1" si="69"/>
        <v>9347084.4713663571</v>
      </c>
      <c r="P118" s="39">
        <f t="shared" ca="1" si="69"/>
        <v>11864966.699933477</v>
      </c>
      <c r="Q118" s="39">
        <f t="shared" ca="1" si="69"/>
        <v>14622113.869782535</v>
      </c>
      <c r="R118" s="39">
        <f t="shared" ca="1" si="69"/>
        <v>17441831.96784528</v>
      </c>
    </row>
    <row r="120" spans="3:18" x14ac:dyDescent="0.25">
      <c r="C120" s="1" t="s">
        <v>121</v>
      </c>
      <c r="D120" s="194">
        <v>1</v>
      </c>
    </row>
    <row r="122" spans="3:18" x14ac:dyDescent="0.25">
      <c r="C122" s="1" t="s">
        <v>115</v>
      </c>
      <c r="E122" s="59">
        <f t="shared" ref="E122:R122" si="70">E37</f>
        <v>0.23606238840798532</v>
      </c>
      <c r="F122" s="59">
        <f t="shared" si="70"/>
        <v>0.16745152216493131</v>
      </c>
      <c r="G122" s="59">
        <f t="shared" si="70"/>
        <v>0.2878613688375613</v>
      </c>
      <c r="H122" s="59">
        <f t="shared" si="70"/>
        <v>0.56183390932215493</v>
      </c>
      <c r="I122" s="59">
        <f t="shared" ca="1" si="70"/>
        <v>0.40582247807385841</v>
      </c>
      <c r="J122" s="59">
        <f t="shared" ca="1" si="70"/>
        <v>0.40360942289637958</v>
      </c>
      <c r="K122" s="59">
        <f t="shared" ca="1" si="70"/>
        <v>0.39481655946606309</v>
      </c>
      <c r="L122" s="59">
        <f t="shared" ca="1" si="70"/>
        <v>0.37982411882726375</v>
      </c>
      <c r="M122" s="59">
        <f t="shared" ca="1" si="70"/>
        <v>0.35915072532192416</v>
      </c>
      <c r="N122" s="59">
        <f t="shared" ca="1" si="70"/>
        <v>0.33341016546530211</v>
      </c>
      <c r="O122" s="59">
        <f t="shared" ca="1" si="70"/>
        <v>0.30326397383582493</v>
      </c>
      <c r="P122" s="59">
        <f t="shared" ca="1" si="70"/>
        <v>0.2693762141853262</v>
      </c>
      <c r="Q122" s="59">
        <f t="shared" ca="1" si="70"/>
        <v>0.23237715196154052</v>
      </c>
      <c r="R122" s="59">
        <f t="shared" ca="1" si="70"/>
        <v>0.19283929281181833</v>
      </c>
    </row>
    <row r="123" spans="3:18" x14ac:dyDescent="0.25">
      <c r="C123" s="1" t="s">
        <v>116</v>
      </c>
      <c r="E123" s="58">
        <f>(AVERAGE(E53,D53)/E13)*365</f>
        <v>43.020536279737719</v>
      </c>
      <c r="F123" s="58">
        <f>(AVERAGE(F53,E53)/F13)*365</f>
        <v>51.110387269821473</v>
      </c>
      <c r="G123" s="58">
        <f>(AVERAGE(G53,F53)/G13)*365</f>
        <v>59.856541966220988</v>
      </c>
      <c r="H123" s="58">
        <f>(AVERAGE(H53,G53)/H13)*365</f>
        <v>65.942728948131645</v>
      </c>
      <c r="I123" s="74">
        <f>H123</f>
        <v>65.942728948131645</v>
      </c>
      <c r="J123" s="74">
        <f t="shared" ref="J123:R123" si="71">I123</f>
        <v>65.942728948131645</v>
      </c>
      <c r="K123" s="74">
        <f t="shared" si="71"/>
        <v>65.942728948131645</v>
      </c>
      <c r="L123" s="74">
        <f t="shared" si="71"/>
        <v>65.942728948131645</v>
      </c>
      <c r="M123" s="74">
        <f t="shared" si="71"/>
        <v>65.942728948131645</v>
      </c>
      <c r="N123" s="74">
        <f t="shared" si="71"/>
        <v>65.942728948131645</v>
      </c>
      <c r="O123" s="74">
        <f t="shared" si="71"/>
        <v>65.942728948131645</v>
      </c>
      <c r="P123" s="74">
        <f t="shared" si="71"/>
        <v>65.942728948131645</v>
      </c>
      <c r="Q123" s="74">
        <f t="shared" si="71"/>
        <v>65.942728948131645</v>
      </c>
      <c r="R123" s="74">
        <f t="shared" si="71"/>
        <v>65.942728948131645</v>
      </c>
    </row>
    <row r="125" spans="3:18" x14ac:dyDescent="0.25">
      <c r="C125" s="11" t="s">
        <v>41</v>
      </c>
    </row>
    <row r="126" spans="3:18" x14ac:dyDescent="0.25">
      <c r="C126" s="1" t="s">
        <v>114</v>
      </c>
      <c r="E126" s="53">
        <f>D128</f>
        <v>110872</v>
      </c>
      <c r="F126" s="53">
        <f t="shared" ref="F126:R126" si="72">E128</f>
        <v>149556</v>
      </c>
      <c r="G126" s="53">
        <f t="shared" si="72"/>
        <v>99655</v>
      </c>
      <c r="H126" s="53">
        <f t="shared" si="72"/>
        <v>129254</v>
      </c>
      <c r="I126" s="53">
        <f t="shared" si="72"/>
        <v>139066</v>
      </c>
      <c r="J126" s="53">
        <f t="shared" ca="1" si="72"/>
        <v>195502.1087358192</v>
      </c>
      <c r="K126" s="53">
        <f t="shared" ca="1" si="72"/>
        <v>274408.60201770841</v>
      </c>
      <c r="L126" s="53">
        <f t="shared" ca="1" si="72"/>
        <v>382749.66215423221</v>
      </c>
      <c r="M126" s="53">
        <f t="shared" ca="1" si="72"/>
        <v>528127.21531339642</v>
      </c>
      <c r="N126" s="53">
        <f t="shared" ca="1" si="72"/>
        <v>717804.48775545077</v>
      </c>
      <c r="O126" s="53">
        <f t="shared" ca="1" si="72"/>
        <v>957127.80078973202</v>
      </c>
      <c r="P126" s="53">
        <f t="shared" ca="1" si="72"/>
        <v>1247390.1811259699</v>
      </c>
      <c r="Q126" s="53">
        <f t="shared" ca="1" si="72"/>
        <v>1583407.4257296319</v>
      </c>
      <c r="R126" s="53">
        <f t="shared" ca="1" si="72"/>
        <v>1951355.1337154382</v>
      </c>
    </row>
    <row r="127" spans="3:18" x14ac:dyDescent="0.25">
      <c r="C127" s="5" t="s">
        <v>112</v>
      </c>
      <c r="D127" s="5"/>
      <c r="E127" s="35">
        <f>E128-E126</f>
        <v>38684</v>
      </c>
      <c r="F127" s="35">
        <f t="shared" ref="F127:R127" si="73">F128-F126</f>
        <v>-49901</v>
      </c>
      <c r="G127" s="35">
        <f t="shared" si="73"/>
        <v>29599</v>
      </c>
      <c r="H127" s="35">
        <f t="shared" si="73"/>
        <v>9812</v>
      </c>
      <c r="I127" s="35">
        <f t="shared" ca="1" si="73"/>
        <v>56436.108735819202</v>
      </c>
      <c r="J127" s="35">
        <f t="shared" ca="1" si="73"/>
        <v>78906.493281889212</v>
      </c>
      <c r="K127" s="35">
        <f t="shared" ca="1" si="73"/>
        <v>108341.0601365238</v>
      </c>
      <c r="L127" s="35">
        <f t="shared" ca="1" si="73"/>
        <v>145377.55315916421</v>
      </c>
      <c r="M127" s="35">
        <f t="shared" ca="1" si="73"/>
        <v>189677.27244205435</v>
      </c>
      <c r="N127" s="35">
        <f t="shared" ca="1" si="73"/>
        <v>239323.31303428125</v>
      </c>
      <c r="O127" s="35">
        <f t="shared" ca="1" si="73"/>
        <v>290262.38033623784</v>
      </c>
      <c r="P127" s="35">
        <f t="shared" ca="1" si="73"/>
        <v>336017.24460366205</v>
      </c>
      <c r="Q127" s="35">
        <f t="shared" ca="1" si="73"/>
        <v>367947.70798580628</v>
      </c>
      <c r="R127" s="35">
        <f t="shared" ca="1" si="73"/>
        <v>376297.94401039649</v>
      </c>
    </row>
    <row r="128" spans="3:18" x14ac:dyDescent="0.25">
      <c r="C128" s="11" t="s">
        <v>113</v>
      </c>
      <c r="D128" s="57">
        <f>D54</f>
        <v>110872</v>
      </c>
      <c r="E128" s="57">
        <f>E54</f>
        <v>149556</v>
      </c>
      <c r="F128" s="57">
        <f>F54</f>
        <v>99655</v>
      </c>
      <c r="G128" s="57">
        <f>G54</f>
        <v>129254</v>
      </c>
      <c r="H128" s="57">
        <f>H54</f>
        <v>139066</v>
      </c>
      <c r="I128" s="39">
        <f t="shared" ref="I128:R128" ca="1" si="74">IF($D$130=1,H128*(1+I132),2*I13*I133/365-I126)</f>
        <v>195502.1087358192</v>
      </c>
      <c r="J128" s="39">
        <f t="shared" ca="1" si="74"/>
        <v>274408.60201770841</v>
      </c>
      <c r="K128" s="39">
        <f t="shared" ca="1" si="74"/>
        <v>382749.66215423221</v>
      </c>
      <c r="L128" s="39">
        <f t="shared" ca="1" si="74"/>
        <v>528127.21531339642</v>
      </c>
      <c r="M128" s="39">
        <f t="shared" ca="1" si="74"/>
        <v>717804.48775545077</v>
      </c>
      <c r="N128" s="39">
        <f t="shared" ca="1" si="74"/>
        <v>957127.80078973202</v>
      </c>
      <c r="O128" s="39">
        <f t="shared" ca="1" si="74"/>
        <v>1247390.1811259699</v>
      </c>
      <c r="P128" s="39">
        <f t="shared" ca="1" si="74"/>
        <v>1583407.4257296319</v>
      </c>
      <c r="Q128" s="39">
        <f t="shared" ca="1" si="74"/>
        <v>1951355.1337154382</v>
      </c>
      <c r="R128" s="39">
        <f t="shared" ca="1" si="74"/>
        <v>2327653.0777258347</v>
      </c>
    </row>
    <row r="130" spans="3:18" x14ac:dyDescent="0.25">
      <c r="C130" s="1" t="s">
        <v>117</v>
      </c>
      <c r="D130" s="194">
        <v>1</v>
      </c>
    </row>
    <row r="132" spans="3:18" x14ac:dyDescent="0.25">
      <c r="C132" s="1" t="s">
        <v>115</v>
      </c>
      <c r="E132" s="59">
        <f t="shared" ref="E132:R132" si="75">E37</f>
        <v>0.23606238840798532</v>
      </c>
      <c r="F132" s="59">
        <f t="shared" si="75"/>
        <v>0.16745152216493131</v>
      </c>
      <c r="G132" s="59">
        <f t="shared" si="75"/>
        <v>0.2878613688375613</v>
      </c>
      <c r="H132" s="59">
        <f t="shared" si="75"/>
        <v>0.56183390932215493</v>
      </c>
      <c r="I132" s="59">
        <f t="shared" ca="1" si="75"/>
        <v>0.40582247807385841</v>
      </c>
      <c r="J132" s="59">
        <f t="shared" ca="1" si="75"/>
        <v>0.40360942289637958</v>
      </c>
      <c r="K132" s="59">
        <f t="shared" ca="1" si="75"/>
        <v>0.39481655946606309</v>
      </c>
      <c r="L132" s="59">
        <f t="shared" ca="1" si="75"/>
        <v>0.37982411882726375</v>
      </c>
      <c r="M132" s="59">
        <f t="shared" ca="1" si="75"/>
        <v>0.35915072532192416</v>
      </c>
      <c r="N132" s="59">
        <f t="shared" ca="1" si="75"/>
        <v>0.33341016546530211</v>
      </c>
      <c r="O132" s="59">
        <f t="shared" ca="1" si="75"/>
        <v>0.30326397383582493</v>
      </c>
      <c r="P132" s="59">
        <f t="shared" ca="1" si="75"/>
        <v>0.2693762141853262</v>
      </c>
      <c r="Q132" s="59">
        <f t="shared" ca="1" si="75"/>
        <v>0.23237715196154052</v>
      </c>
      <c r="R132" s="59">
        <f t="shared" ca="1" si="75"/>
        <v>0.19283929281181833</v>
      </c>
    </row>
    <row r="133" spans="3:18" x14ac:dyDescent="0.25">
      <c r="C133" s="1" t="s">
        <v>118</v>
      </c>
      <c r="E133" s="58">
        <f>(AVERAGE(D54,E54)/E13)*365</f>
        <v>24.937737129113145</v>
      </c>
      <c r="F133" s="58">
        <f>(AVERAGE(E54,F54)/F13)*365</f>
        <v>20.440792004717277</v>
      </c>
      <c r="G133" s="58">
        <f>(AVERAGE(F54,G54)/G13)*365</f>
        <v>14.578883422724147</v>
      </c>
      <c r="H133" s="58">
        <f>(AVERAGE(G54,H54)/H13)*365</f>
        <v>10.941568728569175</v>
      </c>
      <c r="I133" s="74">
        <f>H133</f>
        <v>10.941568728569175</v>
      </c>
      <c r="J133" s="74">
        <f t="shared" ref="J133:R133" si="76">I133</f>
        <v>10.941568728569175</v>
      </c>
      <c r="K133" s="74">
        <f t="shared" si="76"/>
        <v>10.941568728569175</v>
      </c>
      <c r="L133" s="74">
        <f t="shared" si="76"/>
        <v>10.941568728569175</v>
      </c>
      <c r="M133" s="74">
        <f t="shared" si="76"/>
        <v>10.941568728569175</v>
      </c>
      <c r="N133" s="74">
        <f t="shared" si="76"/>
        <v>10.941568728569175</v>
      </c>
      <c r="O133" s="74">
        <f t="shared" si="76"/>
        <v>10.941568728569175</v>
      </c>
      <c r="P133" s="74">
        <f t="shared" si="76"/>
        <v>10.941568728569175</v>
      </c>
      <c r="Q133" s="74">
        <f t="shared" si="76"/>
        <v>10.941568728569175</v>
      </c>
      <c r="R133" s="74">
        <f t="shared" si="76"/>
        <v>10.941568728569175</v>
      </c>
    </row>
    <row r="135" spans="3:18" x14ac:dyDescent="0.25">
      <c r="C135" s="11" t="s">
        <v>119</v>
      </c>
    </row>
    <row r="136" spans="3:18" x14ac:dyDescent="0.25">
      <c r="C136" s="1" t="s">
        <v>114</v>
      </c>
      <c r="E136" s="53">
        <f>D138</f>
        <v>74907</v>
      </c>
      <c r="F136" s="53">
        <f t="shared" ref="F136:R136" si="77">E138</f>
        <v>44788</v>
      </c>
      <c r="G136" s="53">
        <f t="shared" si="77"/>
        <v>12122</v>
      </c>
      <c r="H136" s="53">
        <f t="shared" si="77"/>
        <v>103</v>
      </c>
      <c r="I136" s="53">
        <f t="shared" si="77"/>
        <v>8064</v>
      </c>
      <c r="J136" s="53">
        <f t="shared" ca="1" si="77"/>
        <v>11336.552463187596</v>
      </c>
      <c r="K136" s="53">
        <f t="shared" ca="1" si="77"/>
        <v>15912.091860489269</v>
      </c>
      <c r="L136" s="53">
        <f t="shared" ca="1" si="77"/>
        <v>22194.449222755578</v>
      </c>
      <c r="M136" s="53">
        <f t="shared" ca="1" si="77"/>
        <v>30624.436341645174</v>
      </c>
      <c r="N136" s="53">
        <f t="shared" ca="1" si="77"/>
        <v>41623.224866322133</v>
      </c>
      <c r="O136" s="53">
        <f t="shared" ca="1" si="77"/>
        <v>55500.831156202083</v>
      </c>
      <c r="P136" s="53">
        <f t="shared" ca="1" si="77"/>
        <v>72332.233763823067</v>
      </c>
      <c r="Q136" s="53">
        <f t="shared" ca="1" si="77"/>
        <v>91816.81705868979</v>
      </c>
      <c r="R136" s="53">
        <f t="shared" ca="1" si="77"/>
        <v>113152.94750896191</v>
      </c>
    </row>
    <row r="137" spans="3:18" x14ac:dyDescent="0.25">
      <c r="C137" s="5" t="s">
        <v>112</v>
      </c>
      <c r="D137" s="5"/>
      <c r="E137" s="35">
        <f>E138-E136</f>
        <v>-30119</v>
      </c>
      <c r="F137" s="35">
        <f t="shared" ref="F137:R137" si="78">F138-F136</f>
        <v>-32666</v>
      </c>
      <c r="G137" s="35">
        <f t="shared" si="78"/>
        <v>-12019</v>
      </c>
      <c r="H137" s="35">
        <f t="shared" si="78"/>
        <v>7961</v>
      </c>
      <c r="I137" s="35">
        <f t="shared" ca="1" si="78"/>
        <v>3272.552463187596</v>
      </c>
      <c r="J137" s="35">
        <f t="shared" ca="1" si="78"/>
        <v>4575.5393973016726</v>
      </c>
      <c r="K137" s="35">
        <f t="shared" ca="1" si="78"/>
        <v>6282.3573622663098</v>
      </c>
      <c r="L137" s="35">
        <f t="shared" ca="1" si="78"/>
        <v>8429.9871188895959</v>
      </c>
      <c r="M137" s="35">
        <f t="shared" ca="1" si="78"/>
        <v>10998.788524676958</v>
      </c>
      <c r="N137" s="35">
        <f t="shared" ca="1" si="78"/>
        <v>13877.60628987995</v>
      </c>
      <c r="O137" s="35">
        <f t="shared" ca="1" si="78"/>
        <v>16831.402607620985</v>
      </c>
      <c r="P137" s="35">
        <f t="shared" ca="1" si="78"/>
        <v>19484.583294866723</v>
      </c>
      <c r="Q137" s="35">
        <f t="shared" ca="1" si="78"/>
        <v>21336.130450272118</v>
      </c>
      <c r="R137" s="35">
        <f t="shared" ca="1" si="78"/>
        <v>21820.334377200968</v>
      </c>
    </row>
    <row r="138" spans="3:18" x14ac:dyDescent="0.25">
      <c r="C138" s="11" t="s">
        <v>113</v>
      </c>
      <c r="D138" s="57">
        <f>D60</f>
        <v>74907</v>
      </c>
      <c r="E138" s="57">
        <f>E60</f>
        <v>44788</v>
      </c>
      <c r="F138" s="57">
        <f>F60</f>
        <v>12122</v>
      </c>
      <c r="G138" s="57">
        <f>G60</f>
        <v>103</v>
      </c>
      <c r="H138" s="57">
        <f>H60</f>
        <v>8064</v>
      </c>
      <c r="I138" s="39">
        <f t="shared" ref="I138:R138" ca="1" si="79">IF($D$140=1,H138*(1+I142),2*-I14*I143/365-I136)</f>
        <v>11336.552463187596</v>
      </c>
      <c r="J138" s="39">
        <f t="shared" ca="1" si="79"/>
        <v>15912.091860489269</v>
      </c>
      <c r="K138" s="39">
        <f t="shared" ca="1" si="79"/>
        <v>22194.449222755578</v>
      </c>
      <c r="L138" s="39">
        <f t="shared" ca="1" si="79"/>
        <v>30624.436341645174</v>
      </c>
      <c r="M138" s="39">
        <f t="shared" ca="1" si="79"/>
        <v>41623.224866322133</v>
      </c>
      <c r="N138" s="39">
        <f t="shared" ca="1" si="79"/>
        <v>55500.831156202083</v>
      </c>
      <c r="O138" s="39">
        <f t="shared" ca="1" si="79"/>
        <v>72332.233763823067</v>
      </c>
      <c r="P138" s="39">
        <f t="shared" ca="1" si="79"/>
        <v>91816.81705868979</v>
      </c>
      <c r="Q138" s="39">
        <f t="shared" ca="1" si="79"/>
        <v>113152.94750896191</v>
      </c>
      <c r="R138" s="39">
        <f t="shared" ca="1" si="79"/>
        <v>134973.28188616288</v>
      </c>
    </row>
    <row r="140" spans="3:18" x14ac:dyDescent="0.25">
      <c r="C140" s="1" t="s">
        <v>122</v>
      </c>
      <c r="D140" s="194">
        <v>1</v>
      </c>
    </row>
    <row r="142" spans="3:18" x14ac:dyDescent="0.25">
      <c r="C142" s="1" t="s">
        <v>123</v>
      </c>
      <c r="E142" s="59">
        <f t="shared" ref="E142:R142" si="80">E14/D14-1</f>
        <v>0.20372476458733546</v>
      </c>
      <c r="F142" s="59">
        <f t="shared" si="80"/>
        <v>5.5210023767038985E-2</v>
      </c>
      <c r="G142" s="59">
        <f t="shared" si="80"/>
        <v>0.31288201250275449</v>
      </c>
      <c r="H142" s="59">
        <f t="shared" si="80"/>
        <v>0.3943302885209985</v>
      </c>
      <c r="I142" s="59">
        <f t="shared" ca="1" si="80"/>
        <v>0.40582247807385863</v>
      </c>
      <c r="J142" s="59">
        <f t="shared" ca="1" si="80"/>
        <v>0.40360942289637936</v>
      </c>
      <c r="K142" s="59">
        <f t="shared" ca="1" si="80"/>
        <v>0.39481655946606242</v>
      </c>
      <c r="L142" s="59">
        <f t="shared" ca="1" si="80"/>
        <v>0.37982411882726419</v>
      </c>
      <c r="M142" s="59">
        <f t="shared" ca="1" si="80"/>
        <v>0.35915072532192416</v>
      </c>
      <c r="N142" s="59">
        <f t="shared" ca="1" si="80"/>
        <v>0.33341016546530233</v>
      </c>
      <c r="O142" s="59">
        <f t="shared" ca="1" si="80"/>
        <v>0.30326397383582449</v>
      </c>
      <c r="P142" s="59">
        <f t="shared" ca="1" si="80"/>
        <v>0.26937621418532665</v>
      </c>
      <c r="Q142" s="59">
        <f t="shared" ca="1" si="80"/>
        <v>0.23237715196154052</v>
      </c>
      <c r="R142" s="59">
        <f t="shared" ca="1" si="80"/>
        <v>0.19283929281181789</v>
      </c>
    </row>
    <row r="143" spans="3:18" x14ac:dyDescent="0.25">
      <c r="C143" s="1" t="s">
        <v>120</v>
      </c>
      <c r="E143" s="58">
        <f>(AVERAGE(D60,E60)/-E14)*365</f>
        <v>53.468096850071845</v>
      </c>
      <c r="F143" s="58">
        <f>(AVERAGE(E60,F60)/-F14)*365</f>
        <v>24.091752589276396</v>
      </c>
      <c r="G143" s="58">
        <f>(AVERAGE(F60,G60)/-G14)*365</f>
        <v>3.9418761815579781</v>
      </c>
      <c r="H143" s="58">
        <f>(AVERAGE(G60,H60)/-H14)*365</f>
        <v>1.8886479205552114</v>
      </c>
      <c r="I143" s="74">
        <f>H143</f>
        <v>1.8886479205552114</v>
      </c>
      <c r="J143" s="74">
        <f t="shared" ref="J143:R143" si="81">I143</f>
        <v>1.8886479205552114</v>
      </c>
      <c r="K143" s="74">
        <f t="shared" si="81"/>
        <v>1.8886479205552114</v>
      </c>
      <c r="L143" s="74">
        <f t="shared" si="81"/>
        <v>1.8886479205552114</v>
      </c>
      <c r="M143" s="74">
        <f t="shared" si="81"/>
        <v>1.8886479205552114</v>
      </c>
      <c r="N143" s="74">
        <f t="shared" si="81"/>
        <v>1.8886479205552114</v>
      </c>
      <c r="O143" s="74">
        <f t="shared" si="81"/>
        <v>1.8886479205552114</v>
      </c>
      <c r="P143" s="74">
        <f t="shared" si="81"/>
        <v>1.8886479205552114</v>
      </c>
      <c r="Q143" s="74">
        <f t="shared" si="81"/>
        <v>1.8886479205552114</v>
      </c>
      <c r="R143" s="74">
        <f t="shared" si="81"/>
        <v>1.8886479205552114</v>
      </c>
    </row>
    <row r="145" spans="3:18" x14ac:dyDescent="0.25">
      <c r="C145" s="11" t="s">
        <v>124</v>
      </c>
    </row>
    <row r="146" spans="3:18" x14ac:dyDescent="0.25">
      <c r="C146" s="1" t="s">
        <v>114</v>
      </c>
      <c r="E146" s="53">
        <f>D148</f>
        <v>155806</v>
      </c>
      <c r="F146" s="53">
        <f t="shared" ref="F146:R146" si="82">E148</f>
        <v>172715</v>
      </c>
      <c r="G146" s="53">
        <f t="shared" si="82"/>
        <v>222991</v>
      </c>
      <c r="H146" s="53">
        <f t="shared" si="82"/>
        <v>427046</v>
      </c>
      <c r="I146" s="53">
        <f t="shared" si="82"/>
        <v>355624</v>
      </c>
      <c r="J146" s="53">
        <f t="shared" ca="1" si="82"/>
        <v>499944.21294253791</v>
      </c>
      <c r="K146" s="53">
        <f t="shared" ca="1" si="82"/>
        <v>701726.4082086602</v>
      </c>
      <c r="L146" s="53">
        <f t="shared" ca="1" si="82"/>
        <v>978779.6143840811</v>
      </c>
      <c r="M146" s="53">
        <f t="shared" ca="1" si="82"/>
        <v>1350543.718943604</v>
      </c>
      <c r="N146" s="53">
        <f t="shared" ca="1" si="82"/>
        <v>1835592.4751811684</v>
      </c>
      <c r="O146" s="53">
        <f t="shared" ca="1" si="82"/>
        <v>2447597.6660581855</v>
      </c>
      <c r="P146" s="53">
        <f t="shared" ca="1" si="82"/>
        <v>3189865.8606182802</v>
      </c>
      <c r="Q146" s="53">
        <f t="shared" ca="1" si="82"/>
        <v>4049139.8499106513</v>
      </c>
      <c r="R146" s="53">
        <f t="shared" ca="1" si="82"/>
        <v>4990067.4361268682</v>
      </c>
    </row>
    <row r="147" spans="3:18" x14ac:dyDescent="0.25">
      <c r="C147" s="5" t="s">
        <v>112</v>
      </c>
      <c r="D147" s="5"/>
      <c r="E147" s="35">
        <f>E148-E146</f>
        <v>16909</v>
      </c>
      <c r="F147" s="35">
        <f t="shared" ref="F147:R147" si="83">F148-F146</f>
        <v>50276</v>
      </c>
      <c r="G147" s="35">
        <f t="shared" si="83"/>
        <v>204055</v>
      </c>
      <c r="H147" s="35">
        <f t="shared" si="83"/>
        <v>-71422</v>
      </c>
      <c r="I147" s="35">
        <f t="shared" ca="1" si="83"/>
        <v>144320.21294253791</v>
      </c>
      <c r="J147" s="35">
        <f t="shared" ca="1" si="83"/>
        <v>201782.19526612229</v>
      </c>
      <c r="K147" s="35">
        <f t="shared" ca="1" si="83"/>
        <v>277053.2061754209</v>
      </c>
      <c r="L147" s="35">
        <f t="shared" ca="1" si="83"/>
        <v>371764.10455952294</v>
      </c>
      <c r="M147" s="35">
        <f t="shared" ca="1" si="83"/>
        <v>485048.75623756438</v>
      </c>
      <c r="N147" s="35">
        <f t="shared" ca="1" si="83"/>
        <v>612005.1908770171</v>
      </c>
      <c r="O147" s="35">
        <f t="shared" ca="1" si="83"/>
        <v>742268.19456009474</v>
      </c>
      <c r="P147" s="35">
        <f t="shared" ca="1" si="83"/>
        <v>859273.98929237109</v>
      </c>
      <c r="Q147" s="35">
        <f t="shared" ca="1" si="83"/>
        <v>940927.58621621691</v>
      </c>
      <c r="R147" s="35">
        <f t="shared" ca="1" si="83"/>
        <v>962281.07546598651</v>
      </c>
    </row>
    <row r="148" spans="3:18" x14ac:dyDescent="0.25">
      <c r="C148" s="11" t="s">
        <v>113</v>
      </c>
      <c r="D148" s="57">
        <f>D61</f>
        <v>155806</v>
      </c>
      <c r="E148" s="57">
        <f>E61</f>
        <v>172715</v>
      </c>
      <c r="F148" s="57">
        <f>F61</f>
        <v>222991</v>
      </c>
      <c r="G148" s="57">
        <f>G61</f>
        <v>427046</v>
      </c>
      <c r="H148" s="57">
        <f>H61</f>
        <v>355624</v>
      </c>
      <c r="I148" s="39">
        <f t="shared" ref="I148:R148" ca="1" si="84">IF($D$150=1,H148*(1+I152),2*-I14*I153/365-I146)</f>
        <v>499944.21294253791</v>
      </c>
      <c r="J148" s="39">
        <f t="shared" ca="1" si="84"/>
        <v>701726.4082086602</v>
      </c>
      <c r="K148" s="39">
        <f t="shared" ca="1" si="84"/>
        <v>978779.6143840811</v>
      </c>
      <c r="L148" s="39">
        <f t="shared" ca="1" si="84"/>
        <v>1350543.718943604</v>
      </c>
      <c r="M148" s="39">
        <f t="shared" ca="1" si="84"/>
        <v>1835592.4751811684</v>
      </c>
      <c r="N148" s="39">
        <f t="shared" ca="1" si="84"/>
        <v>2447597.6660581855</v>
      </c>
      <c r="O148" s="39">
        <f t="shared" ca="1" si="84"/>
        <v>3189865.8606182802</v>
      </c>
      <c r="P148" s="39">
        <f t="shared" ca="1" si="84"/>
        <v>4049139.8499106513</v>
      </c>
      <c r="Q148" s="39">
        <f t="shared" ca="1" si="84"/>
        <v>4990067.4361268682</v>
      </c>
      <c r="R148" s="39">
        <f t="shared" ca="1" si="84"/>
        <v>5952348.5115928547</v>
      </c>
    </row>
    <row r="150" spans="3:18" x14ac:dyDescent="0.25">
      <c r="C150" s="1" t="s">
        <v>130</v>
      </c>
      <c r="D150" s="194">
        <v>1</v>
      </c>
    </row>
    <row r="152" spans="3:18" x14ac:dyDescent="0.25">
      <c r="C152" s="1" t="s">
        <v>123</v>
      </c>
      <c r="E152" s="59">
        <f>E142</f>
        <v>0.20372476458733546</v>
      </c>
      <c r="F152" s="59">
        <f t="shared" ref="F152:R152" si="85">F142</f>
        <v>5.5210023767038985E-2</v>
      </c>
      <c r="G152" s="59">
        <f t="shared" si="85"/>
        <v>0.31288201250275449</v>
      </c>
      <c r="H152" s="59">
        <f t="shared" si="85"/>
        <v>0.3943302885209985</v>
      </c>
      <c r="I152" s="59">
        <f t="shared" ca="1" si="85"/>
        <v>0.40582247807385863</v>
      </c>
      <c r="J152" s="59">
        <f t="shared" ca="1" si="85"/>
        <v>0.40360942289637936</v>
      </c>
      <c r="K152" s="59">
        <f t="shared" ca="1" si="85"/>
        <v>0.39481655946606242</v>
      </c>
      <c r="L152" s="59">
        <f t="shared" ca="1" si="85"/>
        <v>0.37982411882726419</v>
      </c>
      <c r="M152" s="59">
        <f t="shared" ca="1" si="85"/>
        <v>0.35915072532192416</v>
      </c>
      <c r="N152" s="59">
        <f t="shared" ca="1" si="85"/>
        <v>0.33341016546530233</v>
      </c>
      <c r="O152" s="59">
        <f t="shared" ca="1" si="85"/>
        <v>0.30326397383582449</v>
      </c>
      <c r="P152" s="59">
        <f t="shared" ca="1" si="85"/>
        <v>0.26937621418532665</v>
      </c>
      <c r="Q152" s="59">
        <f t="shared" ca="1" si="85"/>
        <v>0.23237715196154052</v>
      </c>
      <c r="R152" s="59">
        <f t="shared" ca="1" si="85"/>
        <v>0.19283929281181789</v>
      </c>
    </row>
    <row r="153" spans="3:18" x14ac:dyDescent="0.25">
      <c r="C153" s="1" t="s">
        <v>127</v>
      </c>
      <c r="E153" s="58">
        <f>(AVERAGE(D61,E61)/-E14)*365</f>
        <v>146.75126484216091</v>
      </c>
      <c r="F153" s="58">
        <f>(AVERAGE(E61,F61)/-F14)*365</f>
        <v>167.51451502534186</v>
      </c>
      <c r="G153" s="58">
        <f>(AVERAGE(F61,G61)/-G14)*365</f>
        <v>209.60043905369352</v>
      </c>
      <c r="H153" s="58">
        <f>(AVERAGE(G61,H61)/-H14)*365</f>
        <v>180.99523300856461</v>
      </c>
      <c r="I153" s="74">
        <f>H153</f>
        <v>180.99523300856461</v>
      </c>
      <c r="J153" s="74">
        <f t="shared" ref="J153:R153" si="86">I153</f>
        <v>180.99523300856461</v>
      </c>
      <c r="K153" s="74">
        <f t="shared" si="86"/>
        <v>180.99523300856461</v>
      </c>
      <c r="L153" s="74">
        <f t="shared" si="86"/>
        <v>180.99523300856461</v>
      </c>
      <c r="M153" s="74">
        <f t="shared" si="86"/>
        <v>180.99523300856461</v>
      </c>
      <c r="N153" s="74">
        <f t="shared" si="86"/>
        <v>180.99523300856461</v>
      </c>
      <c r="O153" s="74">
        <f t="shared" si="86"/>
        <v>180.99523300856461</v>
      </c>
      <c r="P153" s="74">
        <f t="shared" si="86"/>
        <v>180.99523300856461</v>
      </c>
      <c r="Q153" s="74">
        <f t="shared" si="86"/>
        <v>180.99523300856461</v>
      </c>
      <c r="R153" s="74">
        <f t="shared" si="86"/>
        <v>180.99523300856461</v>
      </c>
    </row>
    <row r="155" spans="3:18" x14ac:dyDescent="0.25">
      <c r="C155" s="11" t="s">
        <v>49</v>
      </c>
    </row>
    <row r="156" spans="3:18" x14ac:dyDescent="0.25">
      <c r="C156" s="1" t="s">
        <v>114</v>
      </c>
      <c r="E156" s="53">
        <f>D158</f>
        <v>268033</v>
      </c>
      <c r="F156" s="53">
        <f t="shared" ref="F156:R156" si="87">E158</f>
        <v>193315</v>
      </c>
      <c r="G156" s="53">
        <f t="shared" si="87"/>
        <v>274948</v>
      </c>
      <c r="H156" s="53">
        <f t="shared" si="87"/>
        <v>299509</v>
      </c>
      <c r="I156" s="53">
        <f t="shared" si="87"/>
        <v>455179</v>
      </c>
      <c r="J156" s="53">
        <f t="shared" ca="1" si="87"/>
        <v>639900.86974718084</v>
      </c>
      <c r="K156" s="53">
        <f t="shared" ca="1" si="87"/>
        <v>898170.89049673185</v>
      </c>
      <c r="L156" s="53">
        <f t="shared" ca="1" si="87"/>
        <v>1252783.6312952216</v>
      </c>
      <c r="M156" s="53">
        <f t="shared" ca="1" si="87"/>
        <v>1728621.0701331489</v>
      </c>
      <c r="N156" s="53">
        <f t="shared" ca="1" si="87"/>
        <v>2349456.5812782301</v>
      </c>
      <c r="O156" s="53">
        <f t="shared" ca="1" si="87"/>
        <v>3132789.2887957478</v>
      </c>
      <c r="P156" s="53">
        <f t="shared" ca="1" si="87"/>
        <v>4082851.4177062539</v>
      </c>
      <c r="Q156" s="53">
        <f t="shared" ca="1" si="87"/>
        <v>5182674.4756891569</v>
      </c>
      <c r="R156" s="53">
        <f t="shared" ca="1" si="87"/>
        <v>6387009.6098935734</v>
      </c>
    </row>
    <row r="157" spans="3:18" x14ac:dyDescent="0.25">
      <c r="C157" s="5" t="s">
        <v>112</v>
      </c>
      <c r="D157" s="5"/>
      <c r="E157" s="35">
        <f>E158-E156</f>
        <v>-74718</v>
      </c>
      <c r="F157" s="35">
        <f t="shared" ref="F157:R157" si="88">F158-F156</f>
        <v>81633</v>
      </c>
      <c r="G157" s="35">
        <f t="shared" si="88"/>
        <v>24561</v>
      </c>
      <c r="H157" s="35">
        <f t="shared" si="88"/>
        <v>155670</v>
      </c>
      <c r="I157" s="35">
        <f t="shared" ca="1" si="88"/>
        <v>184721.86974718084</v>
      </c>
      <c r="J157" s="35">
        <f t="shared" ca="1" si="88"/>
        <v>258270.02074955101</v>
      </c>
      <c r="K157" s="35">
        <f t="shared" ca="1" si="88"/>
        <v>354612.74079848977</v>
      </c>
      <c r="L157" s="35">
        <f t="shared" ca="1" si="88"/>
        <v>475837.4388379273</v>
      </c>
      <c r="M157" s="35">
        <f t="shared" ca="1" si="88"/>
        <v>620835.51114508114</v>
      </c>
      <c r="N157" s="35">
        <f t="shared" ca="1" si="88"/>
        <v>783332.70751751773</v>
      </c>
      <c r="O157" s="35">
        <f t="shared" ca="1" si="88"/>
        <v>950062.12891050614</v>
      </c>
      <c r="P157" s="35">
        <f t="shared" ca="1" si="88"/>
        <v>1099823.057982903</v>
      </c>
      <c r="Q157" s="35">
        <f t="shared" ca="1" si="88"/>
        <v>1204335.1342044165</v>
      </c>
      <c r="R157" s="35">
        <f t="shared" ca="1" si="88"/>
        <v>1231666.4163541645</v>
      </c>
    </row>
    <row r="158" spans="3:18" x14ac:dyDescent="0.25">
      <c r="C158" s="11" t="s">
        <v>113</v>
      </c>
      <c r="D158" s="57">
        <f>D62</f>
        <v>268033</v>
      </c>
      <c r="E158" s="57">
        <f>E62</f>
        <v>193315</v>
      </c>
      <c r="F158" s="57">
        <f>F62</f>
        <v>274948</v>
      </c>
      <c r="G158" s="57">
        <f>G62</f>
        <v>299509</v>
      </c>
      <c r="H158" s="57">
        <f>H62</f>
        <v>455179</v>
      </c>
      <c r="I158" s="39">
        <f t="shared" ref="I158:R158" ca="1" si="89">IF($D$160=1,H158*(1+I162),2*I13*I163/365-I156)</f>
        <v>639900.86974718084</v>
      </c>
      <c r="J158" s="39">
        <f t="shared" ca="1" si="89"/>
        <v>898170.89049673185</v>
      </c>
      <c r="K158" s="39">
        <f t="shared" ca="1" si="89"/>
        <v>1252783.6312952216</v>
      </c>
      <c r="L158" s="39">
        <f t="shared" ca="1" si="89"/>
        <v>1728621.0701331489</v>
      </c>
      <c r="M158" s="39">
        <f t="shared" ca="1" si="89"/>
        <v>2349456.5812782301</v>
      </c>
      <c r="N158" s="39">
        <f t="shared" ca="1" si="89"/>
        <v>3132789.2887957478</v>
      </c>
      <c r="O158" s="39">
        <f t="shared" ca="1" si="89"/>
        <v>4082851.4177062539</v>
      </c>
      <c r="P158" s="39">
        <f t="shared" ca="1" si="89"/>
        <v>5182674.4756891569</v>
      </c>
      <c r="Q158" s="39">
        <f t="shared" ca="1" si="89"/>
        <v>6387009.6098935734</v>
      </c>
      <c r="R158" s="39">
        <f t="shared" ca="1" si="89"/>
        <v>7618676.0262477379</v>
      </c>
    </row>
    <row r="160" spans="3:18" x14ac:dyDescent="0.25">
      <c r="C160" s="1" t="s">
        <v>125</v>
      </c>
      <c r="D160" s="194">
        <v>1</v>
      </c>
    </row>
    <row r="162" spans="2:18" x14ac:dyDescent="0.25">
      <c r="C162" s="1" t="s">
        <v>115</v>
      </c>
      <c r="E162" s="59">
        <f t="shared" ref="E162:R162" si="90">E37</f>
        <v>0.23606238840798532</v>
      </c>
      <c r="F162" s="59">
        <f t="shared" si="90"/>
        <v>0.16745152216493131</v>
      </c>
      <c r="G162" s="59">
        <f t="shared" si="90"/>
        <v>0.2878613688375613</v>
      </c>
      <c r="H162" s="59">
        <f t="shared" si="90"/>
        <v>0.56183390932215493</v>
      </c>
      <c r="I162" s="59">
        <f t="shared" ca="1" si="90"/>
        <v>0.40582247807385841</v>
      </c>
      <c r="J162" s="59">
        <f t="shared" ca="1" si="90"/>
        <v>0.40360942289637958</v>
      </c>
      <c r="K162" s="59">
        <f t="shared" ca="1" si="90"/>
        <v>0.39481655946606309</v>
      </c>
      <c r="L162" s="59">
        <f t="shared" ca="1" si="90"/>
        <v>0.37982411882726375</v>
      </c>
      <c r="M162" s="59">
        <f t="shared" ca="1" si="90"/>
        <v>0.35915072532192416</v>
      </c>
      <c r="N162" s="59">
        <f t="shared" ca="1" si="90"/>
        <v>0.33341016546530211</v>
      </c>
      <c r="O162" s="59">
        <f t="shared" ca="1" si="90"/>
        <v>0.30326397383582493</v>
      </c>
      <c r="P162" s="59">
        <f t="shared" ca="1" si="90"/>
        <v>0.2693762141853262</v>
      </c>
      <c r="Q162" s="59">
        <f t="shared" ca="1" si="90"/>
        <v>0.23237715196154052</v>
      </c>
      <c r="R162" s="59">
        <f t="shared" ca="1" si="90"/>
        <v>0.19283929281181833</v>
      </c>
    </row>
    <row r="163" spans="2:18" x14ac:dyDescent="0.25">
      <c r="C163" s="1" t="s">
        <v>126</v>
      </c>
      <c r="E163" s="58">
        <f>(AVERAGE(D62,E62)/E13)*365</f>
        <v>44.177181981361798</v>
      </c>
      <c r="F163" s="58">
        <f>(AVERAGE(E62,F62)/F13)*365</f>
        <v>38.407881620413733</v>
      </c>
      <c r="G163" s="58">
        <f>(AVERAGE(F62,G62)/G13)*365</f>
        <v>36.586336205076449</v>
      </c>
      <c r="H163" s="58">
        <f>(AVERAGE(G62,H62)/H13)*365</f>
        <v>30.774711615333981</v>
      </c>
      <c r="I163" s="74">
        <f>H163</f>
        <v>30.774711615333981</v>
      </c>
      <c r="J163" s="74">
        <f t="shared" ref="J163:R163" si="91">I163</f>
        <v>30.774711615333981</v>
      </c>
      <c r="K163" s="74">
        <f t="shared" si="91"/>
        <v>30.774711615333981</v>
      </c>
      <c r="L163" s="74">
        <f t="shared" si="91"/>
        <v>30.774711615333981</v>
      </c>
      <c r="M163" s="74">
        <f t="shared" si="91"/>
        <v>30.774711615333981</v>
      </c>
      <c r="N163" s="74">
        <f t="shared" si="91"/>
        <v>30.774711615333981</v>
      </c>
      <c r="O163" s="74">
        <f t="shared" si="91"/>
        <v>30.774711615333981</v>
      </c>
      <c r="P163" s="74">
        <f t="shared" si="91"/>
        <v>30.774711615333981</v>
      </c>
      <c r="Q163" s="74">
        <f t="shared" si="91"/>
        <v>30.774711615333981</v>
      </c>
      <c r="R163" s="74">
        <f t="shared" si="91"/>
        <v>30.774711615333981</v>
      </c>
    </row>
    <row r="165" spans="2:18" x14ac:dyDescent="0.25">
      <c r="C165" s="11" t="s">
        <v>50</v>
      </c>
    </row>
    <row r="166" spans="2:18" x14ac:dyDescent="0.25">
      <c r="C166" s="1" t="s">
        <v>114</v>
      </c>
      <c r="E166" s="53">
        <f>D168</f>
        <v>195304</v>
      </c>
      <c r="F166" s="53">
        <f t="shared" ref="F166:R166" si="92">E168</f>
        <v>145925</v>
      </c>
      <c r="G166" s="53">
        <f t="shared" si="92"/>
        <v>211305</v>
      </c>
      <c r="H166" s="53">
        <f t="shared" si="92"/>
        <v>266915</v>
      </c>
      <c r="I166" s="53">
        <f t="shared" si="92"/>
        <v>357084</v>
      </c>
      <c r="J166" s="53">
        <f t="shared" ca="1" si="92"/>
        <v>501996.71376052563</v>
      </c>
      <c r="K166" s="53">
        <f t="shared" ca="1" si="92"/>
        <v>704607.31769729045</v>
      </c>
      <c r="L166" s="53">
        <f t="shared" ca="1" si="92"/>
        <v>982797.95464514592</v>
      </c>
      <c r="M166" s="53">
        <f t="shared" ca="1" si="92"/>
        <v>1356088.3217534756</v>
      </c>
      <c r="N166" s="53">
        <f t="shared" ca="1" si="92"/>
        <v>1843128.4261118271</v>
      </c>
      <c r="O166" s="53">
        <f t="shared" ca="1" si="92"/>
        <v>2457646.1796355732</v>
      </c>
      <c r="P166" s="53">
        <f t="shared" ca="1" si="92"/>
        <v>3202961.7263542907</v>
      </c>
      <c r="Q166" s="53">
        <f t="shared" ca="1" si="92"/>
        <v>4065763.4303801064</v>
      </c>
      <c r="R166" s="53">
        <f t="shared" ca="1" si="92"/>
        <v>5010553.9568812186</v>
      </c>
    </row>
    <row r="167" spans="2:18" x14ac:dyDescent="0.25">
      <c r="C167" s="5" t="s">
        <v>112</v>
      </c>
      <c r="D167" s="5"/>
      <c r="E167" s="35">
        <f>E168-E166</f>
        <v>-49379</v>
      </c>
      <c r="F167" s="35">
        <f t="shared" ref="F167:R167" si="93">F168-F166</f>
        <v>65380</v>
      </c>
      <c r="G167" s="35">
        <f t="shared" si="93"/>
        <v>55610</v>
      </c>
      <c r="H167" s="35">
        <f t="shared" si="93"/>
        <v>90169</v>
      </c>
      <c r="I167" s="35">
        <f t="shared" ca="1" si="93"/>
        <v>144912.71376052563</v>
      </c>
      <c r="J167" s="35">
        <f t="shared" ca="1" si="93"/>
        <v>202610.60393676482</v>
      </c>
      <c r="K167" s="35">
        <f t="shared" ca="1" si="93"/>
        <v>278190.63694785547</v>
      </c>
      <c r="L167" s="35">
        <f t="shared" ca="1" si="93"/>
        <v>373290.36710832966</v>
      </c>
      <c r="M167" s="35">
        <f t="shared" ca="1" si="93"/>
        <v>487040.10435835156</v>
      </c>
      <c r="N167" s="35">
        <f t="shared" ca="1" si="93"/>
        <v>614517.75352374604</v>
      </c>
      <c r="O167" s="35">
        <f t="shared" ca="1" si="93"/>
        <v>745315.54671871755</v>
      </c>
      <c r="P167" s="35">
        <f t="shared" ca="1" si="93"/>
        <v>862801.70402581571</v>
      </c>
      <c r="Q167" s="35">
        <f t="shared" ca="1" si="93"/>
        <v>944790.52650111215</v>
      </c>
      <c r="R167" s="35">
        <f t="shared" ca="1" si="93"/>
        <v>966231.68164043222</v>
      </c>
    </row>
    <row r="168" spans="2:18" x14ac:dyDescent="0.25">
      <c r="C168" s="11" t="s">
        <v>113</v>
      </c>
      <c r="D168" s="57">
        <f>D63</f>
        <v>195304</v>
      </c>
      <c r="E168" s="57">
        <f>E63</f>
        <v>145925</v>
      </c>
      <c r="F168" s="57">
        <f>F63</f>
        <v>211305</v>
      </c>
      <c r="G168" s="57">
        <f>G63</f>
        <v>266915</v>
      </c>
      <c r="H168" s="57">
        <f>H63</f>
        <v>357084</v>
      </c>
      <c r="I168" s="39">
        <f t="shared" ref="I168:R168" ca="1" si="94">IF($D$170=1,H168*(1+I172),2*I13*I173/365-I166)</f>
        <v>501996.71376052563</v>
      </c>
      <c r="J168" s="39">
        <f t="shared" ca="1" si="94"/>
        <v>704607.31769729045</v>
      </c>
      <c r="K168" s="39">
        <f t="shared" ca="1" si="94"/>
        <v>982797.95464514592</v>
      </c>
      <c r="L168" s="39">
        <f t="shared" ca="1" si="94"/>
        <v>1356088.3217534756</v>
      </c>
      <c r="M168" s="39">
        <f t="shared" ca="1" si="94"/>
        <v>1843128.4261118271</v>
      </c>
      <c r="N168" s="39">
        <f t="shared" ca="1" si="94"/>
        <v>2457646.1796355732</v>
      </c>
      <c r="O168" s="39">
        <f t="shared" ca="1" si="94"/>
        <v>3202961.7263542907</v>
      </c>
      <c r="P168" s="39">
        <f t="shared" ca="1" si="94"/>
        <v>4065763.4303801064</v>
      </c>
      <c r="Q168" s="39">
        <f t="shared" ca="1" si="94"/>
        <v>5010553.9568812186</v>
      </c>
      <c r="R168" s="39">
        <f t="shared" ca="1" si="94"/>
        <v>5976785.6385216508</v>
      </c>
    </row>
    <row r="170" spans="2:18" x14ac:dyDescent="0.25">
      <c r="C170" s="1" t="s">
        <v>128</v>
      </c>
      <c r="D170" s="194">
        <v>1</v>
      </c>
    </row>
    <row r="172" spans="2:18" x14ac:dyDescent="0.25">
      <c r="C172" s="1" t="s">
        <v>115</v>
      </c>
      <c r="E172" s="59">
        <f t="shared" ref="E172:R172" si="95">E37</f>
        <v>0.23606238840798532</v>
      </c>
      <c r="F172" s="59">
        <f t="shared" si="95"/>
        <v>0.16745152216493131</v>
      </c>
      <c r="G172" s="59">
        <f t="shared" si="95"/>
        <v>0.2878613688375613</v>
      </c>
      <c r="H172" s="59">
        <f t="shared" si="95"/>
        <v>0.56183390932215493</v>
      </c>
      <c r="I172" s="59">
        <f t="shared" ca="1" si="95"/>
        <v>0.40582247807385841</v>
      </c>
      <c r="J172" s="59">
        <f t="shared" ca="1" si="95"/>
        <v>0.40360942289637958</v>
      </c>
      <c r="K172" s="59">
        <f t="shared" ca="1" si="95"/>
        <v>0.39481655946606309</v>
      </c>
      <c r="L172" s="59">
        <f t="shared" ca="1" si="95"/>
        <v>0.37982411882726375</v>
      </c>
      <c r="M172" s="59">
        <f t="shared" ca="1" si="95"/>
        <v>0.35915072532192416</v>
      </c>
      <c r="N172" s="59">
        <f t="shared" ca="1" si="95"/>
        <v>0.33341016546530211</v>
      </c>
      <c r="O172" s="59">
        <f t="shared" ca="1" si="95"/>
        <v>0.30326397383582493</v>
      </c>
      <c r="P172" s="59">
        <f t="shared" ca="1" si="95"/>
        <v>0.2693762141853262</v>
      </c>
      <c r="Q172" s="59">
        <f t="shared" ca="1" si="95"/>
        <v>0.23237715196154052</v>
      </c>
      <c r="R172" s="59">
        <f t="shared" ca="1" si="95"/>
        <v>0.19283929281181833</v>
      </c>
    </row>
    <row r="173" spans="2:18" x14ac:dyDescent="0.25">
      <c r="C173" s="1" t="s">
        <v>129</v>
      </c>
      <c r="E173" s="58">
        <f>(AVERAGE(D63,E63)/E13)*365</f>
        <v>32.674977739836535</v>
      </c>
      <c r="F173" s="58">
        <f>(AVERAGE(E63,F63)/F13)*365</f>
        <v>29.300729614042528</v>
      </c>
      <c r="G173" s="58">
        <f>(AVERAGE(F63,G63)/G13)*365</f>
        <v>30.457140743330935</v>
      </c>
      <c r="H173" s="58">
        <f>(AVERAGE(G63,H63)/H13)*365</f>
        <v>25.445467893032337</v>
      </c>
      <c r="I173" s="74">
        <f>H173</f>
        <v>25.445467893032337</v>
      </c>
      <c r="J173" s="74">
        <f t="shared" ref="J173:R173" si="96">I173</f>
        <v>25.445467893032337</v>
      </c>
      <c r="K173" s="74">
        <f t="shared" si="96"/>
        <v>25.445467893032337</v>
      </c>
      <c r="L173" s="74">
        <f t="shared" si="96"/>
        <v>25.445467893032337</v>
      </c>
      <c r="M173" s="74">
        <f t="shared" si="96"/>
        <v>25.445467893032337</v>
      </c>
      <c r="N173" s="74">
        <f t="shared" si="96"/>
        <v>25.445467893032337</v>
      </c>
      <c r="O173" s="74">
        <f t="shared" si="96"/>
        <v>25.445467893032337</v>
      </c>
      <c r="P173" s="74">
        <f t="shared" si="96"/>
        <v>25.445467893032337</v>
      </c>
      <c r="Q173" s="74">
        <f t="shared" si="96"/>
        <v>25.445467893032337</v>
      </c>
      <c r="R173" s="74">
        <f t="shared" si="96"/>
        <v>25.445467893032337</v>
      </c>
    </row>
    <row r="176" spans="2:18" x14ac:dyDescent="0.25">
      <c r="B176" s="1" t="s">
        <v>33</v>
      </c>
      <c r="C176" s="6" t="s">
        <v>107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8"/>
    </row>
    <row r="177" spans="3:18" x14ac:dyDescent="0.25">
      <c r="C177" s="11" t="s">
        <v>17</v>
      </c>
      <c r="D177" s="26">
        <v>2021</v>
      </c>
      <c r="E177" s="26">
        <v>2022</v>
      </c>
      <c r="F177" s="26">
        <v>2023</v>
      </c>
      <c r="G177" s="26">
        <v>2024</v>
      </c>
      <c r="H177" s="26">
        <v>2025</v>
      </c>
      <c r="I177" s="27">
        <v>2026</v>
      </c>
      <c r="J177" s="27">
        <v>2027</v>
      </c>
      <c r="K177" s="27">
        <v>2028</v>
      </c>
      <c r="L177" s="27">
        <v>2029</v>
      </c>
      <c r="M177" s="27">
        <v>2030</v>
      </c>
      <c r="N177" s="27">
        <v>2031</v>
      </c>
      <c r="O177" s="27">
        <v>2032</v>
      </c>
      <c r="P177" s="27">
        <v>2033</v>
      </c>
      <c r="Q177" s="27">
        <v>2034</v>
      </c>
      <c r="R177" s="27">
        <v>2035</v>
      </c>
    </row>
    <row r="178" spans="3:18" x14ac:dyDescent="0.25">
      <c r="C178" s="12" t="s">
        <v>18</v>
      </c>
      <c r="D178" s="28">
        <v>44561</v>
      </c>
      <c r="E178" s="28">
        <f>EOMONTH(D178,12)</f>
        <v>44926</v>
      </c>
      <c r="F178" s="28">
        <f>EOMONTH(E178,12)</f>
        <v>45291</v>
      </c>
      <c r="G178" s="28">
        <f t="shared" ref="G178:R178" si="97">EOMONTH(F178,12)</f>
        <v>45657</v>
      </c>
      <c r="H178" s="28">
        <f t="shared" si="97"/>
        <v>46022</v>
      </c>
      <c r="I178" s="28">
        <f t="shared" si="97"/>
        <v>46387</v>
      </c>
      <c r="J178" s="28">
        <f t="shared" si="97"/>
        <v>46752</v>
      </c>
      <c r="K178" s="28">
        <f t="shared" si="97"/>
        <v>47118</v>
      </c>
      <c r="L178" s="28">
        <f t="shared" si="97"/>
        <v>47483</v>
      </c>
      <c r="M178" s="28">
        <f t="shared" si="97"/>
        <v>47848</v>
      </c>
      <c r="N178" s="28">
        <f t="shared" si="97"/>
        <v>48213</v>
      </c>
      <c r="O178" s="28">
        <f t="shared" si="97"/>
        <v>48579</v>
      </c>
      <c r="P178" s="28">
        <f t="shared" si="97"/>
        <v>48944</v>
      </c>
      <c r="Q178" s="28">
        <f t="shared" si="97"/>
        <v>49309</v>
      </c>
      <c r="R178" s="28">
        <f t="shared" si="97"/>
        <v>49674</v>
      </c>
    </row>
    <row r="180" spans="3:18" x14ac:dyDescent="0.25">
      <c r="C180" s="1" t="s">
        <v>114</v>
      </c>
      <c r="E180" s="53">
        <f>D183</f>
        <v>31304</v>
      </c>
      <c r="F180" s="53">
        <f t="shared" ref="F180:R180" si="98">E183</f>
        <v>69170</v>
      </c>
      <c r="G180" s="53">
        <f t="shared" si="98"/>
        <v>47758</v>
      </c>
      <c r="H180" s="53">
        <f t="shared" si="98"/>
        <v>39638</v>
      </c>
      <c r="I180" s="53">
        <f t="shared" si="98"/>
        <v>51960</v>
      </c>
      <c r="J180" s="53">
        <f t="shared" ca="1" si="98"/>
        <v>80798.637601798691</v>
      </c>
      <c r="K180" s="53">
        <f t="shared" ca="1" si="98"/>
        <v>122736.44209345229</v>
      </c>
      <c r="L180" s="53">
        <f t="shared" ca="1" si="98"/>
        <v>180195.27710449474</v>
      </c>
      <c r="M180" s="53">
        <f t="shared" ca="1" si="98"/>
        <v>256439.68078324621</v>
      </c>
      <c r="N180" s="53">
        <f t="shared" ca="1" si="98"/>
        <v>355161.65114575147</v>
      </c>
      <c r="O180" s="53">
        <f t="shared" ca="1" si="98"/>
        <v>479770.46357883111</v>
      </c>
      <c r="P180" s="53">
        <f t="shared" ca="1" si="98"/>
        <v>632319.3612101957</v>
      </c>
      <c r="Q180" s="53">
        <f t="shared" ca="1" si="98"/>
        <v>813216.08589993312</v>
      </c>
      <c r="R180" s="53">
        <f t="shared" ca="1" si="98"/>
        <v>1022645.8375608992</v>
      </c>
    </row>
    <row r="181" spans="3:18" x14ac:dyDescent="0.25">
      <c r="C181" s="1" t="s">
        <v>132</v>
      </c>
      <c r="D181" s="36">
        <v>12627</v>
      </c>
      <c r="E181" s="36">
        <v>40027</v>
      </c>
      <c r="F181" s="36">
        <v>15114</v>
      </c>
      <c r="G181" s="36">
        <v>12634</v>
      </c>
      <c r="H181" s="36">
        <v>33882</v>
      </c>
      <c r="I181" s="53">
        <f t="shared" ref="I181:R181" ca="1" si="99">H181*(1+I37)</f>
        <v>47632.077202098473</v>
      </c>
      <c r="J181" s="53">
        <f t="shared" ca="1" si="99"/>
        <v>66856.832392993238</v>
      </c>
      <c r="K181" s="53">
        <f t="shared" ca="1" si="99"/>
        <v>93253.016935194071</v>
      </c>
      <c r="L181" s="53">
        <f t="shared" ca="1" si="99"/>
        <v>128672.76192058806</v>
      </c>
      <c r="M181" s="53">
        <f t="shared" ca="1" si="99"/>
        <v>174885.67769354253</v>
      </c>
      <c r="N181" s="53">
        <f t="shared" ca="1" si="99"/>
        <v>233194.34043085805</v>
      </c>
      <c r="O181" s="53">
        <f t="shared" ca="1" si="99"/>
        <v>303913.78278594423</v>
      </c>
      <c r="P181" s="53">
        <f t="shared" ca="1" si="99"/>
        <v>385780.92703156348</v>
      </c>
      <c r="Q181" s="53">
        <f t="shared" ca="1" si="99"/>
        <v>475427.60013624106</v>
      </c>
      <c r="R181" s="53">
        <f t="shared" ca="1" si="99"/>
        <v>567108.72232973378</v>
      </c>
    </row>
    <row r="182" spans="3:18" x14ac:dyDescent="0.25">
      <c r="C182" s="5" t="s">
        <v>133</v>
      </c>
      <c r="D182" s="37">
        <v>-12800</v>
      </c>
      <c r="E182" s="61">
        <f>E183-E180-E181</f>
        <v>-2161</v>
      </c>
      <c r="F182" s="61">
        <f>F183-F180-F181</f>
        <v>-36526</v>
      </c>
      <c r="G182" s="61">
        <f>G183-G180-G181</f>
        <v>-20754</v>
      </c>
      <c r="H182" s="61">
        <f>H183-H180-H181</f>
        <v>-21560</v>
      </c>
      <c r="I182" s="35">
        <f ca="1">-I205</f>
        <v>-18793.439600299782</v>
      </c>
      <c r="J182" s="35">
        <f t="shared" ref="J182:R182" ca="1" si="100">-J205</f>
        <v>-24919.027901339632</v>
      </c>
      <c r="K182" s="35">
        <f t="shared" ca="1" si="100"/>
        <v>-35794.181924151613</v>
      </c>
      <c r="L182" s="35">
        <f t="shared" ca="1" si="100"/>
        <v>-52428.35824183662</v>
      </c>
      <c r="M182" s="35">
        <f t="shared" ca="1" si="100"/>
        <v>-76163.707331037294</v>
      </c>
      <c r="N182" s="35">
        <f t="shared" ca="1" si="100"/>
        <v>-108585.52799777845</v>
      </c>
      <c r="O182" s="35">
        <f t="shared" ca="1" si="100"/>
        <v>-151364.88515457968</v>
      </c>
      <c r="P182" s="35">
        <f t="shared" ca="1" si="100"/>
        <v>-204884.20234182602</v>
      </c>
      <c r="Q182" s="35">
        <f t="shared" ca="1" si="100"/>
        <v>-265997.84847527498</v>
      </c>
      <c r="R182" s="35">
        <f t="shared" ca="1" si="100"/>
        <v>-337462.40418052359</v>
      </c>
    </row>
    <row r="183" spans="3:18" x14ac:dyDescent="0.25">
      <c r="C183" s="11" t="s">
        <v>113</v>
      </c>
      <c r="D183" s="57">
        <f>D55</f>
        <v>31304</v>
      </c>
      <c r="E183" s="57">
        <f>E55</f>
        <v>69170</v>
      </c>
      <c r="F183" s="57">
        <f>F55</f>
        <v>47758</v>
      </c>
      <c r="G183" s="57">
        <f>G55</f>
        <v>39638</v>
      </c>
      <c r="H183" s="57">
        <f>H55</f>
        <v>51960</v>
      </c>
      <c r="I183" s="39">
        <f t="shared" ref="I183:R183" ca="1" si="101">SUM(I180:I182)</f>
        <v>80798.637601798691</v>
      </c>
      <c r="J183" s="39">
        <f t="shared" ca="1" si="101"/>
        <v>122736.44209345229</v>
      </c>
      <c r="K183" s="39">
        <f t="shared" ca="1" si="101"/>
        <v>180195.27710449474</v>
      </c>
      <c r="L183" s="39">
        <f t="shared" ca="1" si="101"/>
        <v>256439.68078324621</v>
      </c>
      <c r="M183" s="39">
        <f t="shared" ca="1" si="101"/>
        <v>355161.65114575147</v>
      </c>
      <c r="N183" s="39">
        <f t="shared" ca="1" si="101"/>
        <v>479770.46357883111</v>
      </c>
      <c r="O183" s="39">
        <f t="shared" ca="1" si="101"/>
        <v>632319.3612101957</v>
      </c>
      <c r="P183" s="39">
        <f t="shared" ca="1" si="101"/>
        <v>813216.08589993312</v>
      </c>
      <c r="Q183" s="39">
        <f t="shared" ca="1" si="101"/>
        <v>1022645.8375608992</v>
      </c>
      <c r="R183" s="39">
        <f t="shared" ca="1" si="101"/>
        <v>1252292.1557101095</v>
      </c>
    </row>
    <row r="184" spans="3:18" x14ac:dyDescent="0.25">
      <c r="G184" s="34"/>
      <c r="H184" s="34"/>
    </row>
    <row r="185" spans="3:18" x14ac:dyDescent="0.25">
      <c r="C185" s="50" t="s">
        <v>84</v>
      </c>
      <c r="D185" s="5"/>
      <c r="E185" s="3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3:18" x14ac:dyDescent="0.25">
      <c r="C186" s="1" t="s">
        <v>134</v>
      </c>
      <c r="G186" s="65">
        <v>162637</v>
      </c>
      <c r="H186" s="65">
        <v>201051</v>
      </c>
    </row>
    <row r="187" spans="3:18" x14ac:dyDescent="0.25">
      <c r="C187" s="1" t="s">
        <v>135</v>
      </c>
      <c r="G187" s="65">
        <v>7632</v>
      </c>
      <c r="H187" s="65">
        <v>9999</v>
      </c>
    </row>
    <row r="188" spans="3:18" x14ac:dyDescent="0.25">
      <c r="C188" s="1" t="s">
        <v>136</v>
      </c>
      <c r="G188" s="65">
        <v>-122999</v>
      </c>
      <c r="H188" s="65">
        <v>-149091</v>
      </c>
    </row>
    <row r="189" spans="3:18" x14ac:dyDescent="0.25">
      <c r="C189" s="1" t="s">
        <v>137</v>
      </c>
      <c r="G189" s="64">
        <f>G186-G187+G188</f>
        <v>32006</v>
      </c>
      <c r="H189" s="64">
        <f>H186-H187+H188</f>
        <v>41961</v>
      </c>
    </row>
    <row r="191" spans="3:18" x14ac:dyDescent="0.25">
      <c r="C191" s="62" t="s">
        <v>138</v>
      </c>
      <c r="D191" s="196">
        <f>IF(D192,D192,ROUND((H186-H187)/-H182,0))</f>
        <v>7</v>
      </c>
    </row>
    <row r="192" spans="3:18" x14ac:dyDescent="0.25">
      <c r="C192" s="63" t="s">
        <v>151</v>
      </c>
      <c r="D192" s="196">
        <v>7</v>
      </c>
    </row>
    <row r="194" spans="3:18" x14ac:dyDescent="0.25">
      <c r="C194" s="1" t="s">
        <v>139</v>
      </c>
      <c r="H194" s="34"/>
      <c r="I194" s="34">
        <f>IF(I177-$H$177&lt;=$D$191,DDB($H$189,0,$D$191,I177-$H$177),0)</f>
        <v>11988.857142857141</v>
      </c>
      <c r="J194" s="34">
        <f t="shared" ref="J194:R194" si="102">IF(J177-$H$177&lt;=$D$191,DDB($H$189,0,$D$191,J177-$H$177),0)</f>
        <v>8563.4693877551017</v>
      </c>
      <c r="K194" s="34">
        <f t="shared" si="102"/>
        <v>6116.7638483965011</v>
      </c>
      <c r="L194" s="34">
        <f t="shared" si="102"/>
        <v>4369.1170345689297</v>
      </c>
      <c r="M194" s="34">
        <f t="shared" si="102"/>
        <v>3120.7978818349497</v>
      </c>
      <c r="N194" s="34">
        <f t="shared" si="102"/>
        <v>2229.1413441678214</v>
      </c>
      <c r="O194" s="34">
        <f t="shared" si="102"/>
        <v>1592.2438172627294</v>
      </c>
      <c r="P194" s="34">
        <f t="shared" si="102"/>
        <v>0</v>
      </c>
      <c r="Q194" s="34">
        <f t="shared" si="102"/>
        <v>0</v>
      </c>
      <c r="R194" s="34">
        <f t="shared" si="102"/>
        <v>0</v>
      </c>
    </row>
    <row r="195" spans="3:18" x14ac:dyDescent="0.25">
      <c r="C195" s="1" t="s">
        <v>140</v>
      </c>
      <c r="D195" s="9" t="s">
        <v>150</v>
      </c>
      <c r="H195" s="34"/>
      <c r="I195" s="34">
        <f ca="1">I181*D196/D191</f>
        <v>6804.5824574426388</v>
      </c>
      <c r="J195" s="34">
        <f ca="1">IF(J177-$I$177&lt;=$D$191,$I$181/$D$191,0)</f>
        <v>6804.5824574426388</v>
      </c>
      <c r="K195" s="34">
        <f t="shared" ref="K195:R195" ca="1" si="103">IF(K177-$I$177&lt;=$D$191,$I$181/$D$191,0)</f>
        <v>6804.5824574426388</v>
      </c>
      <c r="L195" s="34">
        <f t="shared" ca="1" si="103"/>
        <v>6804.5824574426388</v>
      </c>
      <c r="M195" s="34">
        <f t="shared" ca="1" si="103"/>
        <v>6804.5824574426388</v>
      </c>
      <c r="N195" s="34">
        <f t="shared" ca="1" si="103"/>
        <v>6804.5824574426388</v>
      </c>
      <c r="O195" s="34">
        <f t="shared" ca="1" si="103"/>
        <v>6804.5824574426388</v>
      </c>
      <c r="P195" s="34">
        <f t="shared" ca="1" si="103"/>
        <v>6804.5824574426388</v>
      </c>
      <c r="Q195" s="34">
        <f t="shared" si="103"/>
        <v>0</v>
      </c>
      <c r="R195" s="34">
        <f t="shared" si="103"/>
        <v>0</v>
      </c>
    </row>
    <row r="196" spans="3:18" x14ac:dyDescent="0.25">
      <c r="C196" s="1" t="s">
        <v>141</v>
      </c>
      <c r="D196" s="10">
        <v>1</v>
      </c>
      <c r="H196" s="34"/>
      <c r="I196" s="34"/>
      <c r="J196" s="34">
        <f ca="1">J181*D196/D191</f>
        <v>9550.9760561418916</v>
      </c>
      <c r="K196" s="34">
        <f ca="1">IF(K177-$J$177&lt;=$D$191,$J$181/$D$191,0)</f>
        <v>9550.9760561418916</v>
      </c>
      <c r="L196" s="34">
        <f t="shared" ref="L196:R196" ca="1" si="104">IF(L177-$J$177&lt;=$D$191,$J$181/$D$191,0)</f>
        <v>9550.9760561418916</v>
      </c>
      <c r="M196" s="34">
        <f t="shared" ca="1" si="104"/>
        <v>9550.9760561418916</v>
      </c>
      <c r="N196" s="34">
        <f t="shared" ca="1" si="104"/>
        <v>9550.9760561418916</v>
      </c>
      <c r="O196" s="34">
        <f t="shared" ca="1" si="104"/>
        <v>9550.9760561418916</v>
      </c>
      <c r="P196" s="34">
        <f t="shared" ca="1" si="104"/>
        <v>9550.9760561418916</v>
      </c>
      <c r="Q196" s="34">
        <f t="shared" ca="1" si="104"/>
        <v>9550.9760561418916</v>
      </c>
      <c r="R196" s="34">
        <f t="shared" si="104"/>
        <v>0</v>
      </c>
    </row>
    <row r="197" spans="3:18" x14ac:dyDescent="0.25">
      <c r="C197" s="1" t="s">
        <v>142</v>
      </c>
      <c r="H197" s="34"/>
      <c r="I197" s="34"/>
      <c r="J197" s="34"/>
      <c r="K197" s="34">
        <f ca="1">K181*D196/D191</f>
        <v>13321.859562170581</v>
      </c>
      <c r="L197" s="34">
        <f ca="1">IF(L177-$K$177&lt;=$D$191,$K$181/$D$191,0)</f>
        <v>13321.859562170581</v>
      </c>
      <c r="M197" s="34">
        <f t="shared" ref="M197:R197" ca="1" si="105">IF(M177-$K$177&lt;=$D$191,$K$181/$D$191,0)</f>
        <v>13321.859562170581</v>
      </c>
      <c r="N197" s="34">
        <f t="shared" ca="1" si="105"/>
        <v>13321.859562170581</v>
      </c>
      <c r="O197" s="34">
        <f t="shared" ca="1" si="105"/>
        <v>13321.859562170581</v>
      </c>
      <c r="P197" s="34">
        <f t="shared" ca="1" si="105"/>
        <v>13321.859562170581</v>
      </c>
      <c r="Q197" s="34">
        <f t="shared" ca="1" si="105"/>
        <v>13321.859562170581</v>
      </c>
      <c r="R197" s="34">
        <f t="shared" ca="1" si="105"/>
        <v>13321.859562170581</v>
      </c>
    </row>
    <row r="198" spans="3:18" x14ac:dyDescent="0.25">
      <c r="C198" s="1" t="s">
        <v>143</v>
      </c>
      <c r="H198" s="34"/>
      <c r="I198" s="34"/>
      <c r="J198" s="34"/>
      <c r="K198" s="34"/>
      <c r="L198" s="34">
        <f ca="1">L181*D196/D191</f>
        <v>18381.823131512581</v>
      </c>
      <c r="M198" s="34">
        <f ca="1">IF(M177-$L$177&lt;=$D$191,$L$181/$D$191,0)</f>
        <v>18381.823131512581</v>
      </c>
      <c r="N198" s="34">
        <f t="shared" ref="N198:R198" ca="1" si="106">IF(N177-$L$177&lt;=$D$191,$L$181/$D$191,0)</f>
        <v>18381.823131512581</v>
      </c>
      <c r="O198" s="34">
        <f t="shared" ca="1" si="106"/>
        <v>18381.823131512581</v>
      </c>
      <c r="P198" s="34">
        <f t="shared" ca="1" si="106"/>
        <v>18381.823131512581</v>
      </c>
      <c r="Q198" s="34">
        <f t="shared" ca="1" si="106"/>
        <v>18381.823131512581</v>
      </c>
      <c r="R198" s="34">
        <f t="shared" ca="1" si="106"/>
        <v>18381.823131512581</v>
      </c>
    </row>
    <row r="199" spans="3:18" x14ac:dyDescent="0.25">
      <c r="C199" s="1" t="s">
        <v>144</v>
      </c>
      <c r="H199" s="34"/>
      <c r="I199" s="34"/>
      <c r="J199" s="34"/>
      <c r="K199" s="34"/>
      <c r="L199" s="34"/>
      <c r="M199" s="34">
        <f ca="1">M181*D196/D191</f>
        <v>24983.668241934647</v>
      </c>
      <c r="N199" s="34">
        <f ca="1">IF(N177-$M$177&lt;=$D$191,$M$181/$D$191,0)</f>
        <v>24983.668241934647</v>
      </c>
      <c r="O199" s="34">
        <f t="shared" ref="O199:R199" ca="1" si="107">IF(O177-$M$177&lt;=$D$191,$M$181/$D$191,0)</f>
        <v>24983.668241934647</v>
      </c>
      <c r="P199" s="34">
        <f t="shared" ca="1" si="107"/>
        <v>24983.668241934647</v>
      </c>
      <c r="Q199" s="34">
        <f t="shared" ca="1" si="107"/>
        <v>24983.668241934647</v>
      </c>
      <c r="R199" s="34">
        <f t="shared" ca="1" si="107"/>
        <v>24983.668241934647</v>
      </c>
    </row>
    <row r="200" spans="3:18" x14ac:dyDescent="0.25">
      <c r="C200" s="1" t="s">
        <v>145</v>
      </c>
      <c r="H200" s="34"/>
      <c r="I200" s="34"/>
      <c r="J200" s="34"/>
      <c r="K200" s="34"/>
      <c r="L200" s="34"/>
      <c r="M200" s="34"/>
      <c r="N200" s="34">
        <f ca="1">N181*D196/D191</f>
        <v>33313.477204408293</v>
      </c>
      <c r="O200" s="34">
        <f ca="1">IF(O177-$N$177&lt;=$D$191,$N$181/$D$191,0)</f>
        <v>33313.477204408293</v>
      </c>
      <c r="P200" s="34">
        <f t="shared" ref="P200:R200" ca="1" si="108">IF(P177-$N$177&lt;=$D$191,$N$181/$D$191,0)</f>
        <v>33313.477204408293</v>
      </c>
      <c r="Q200" s="34">
        <f t="shared" ca="1" si="108"/>
        <v>33313.477204408293</v>
      </c>
      <c r="R200" s="34">
        <f t="shared" ca="1" si="108"/>
        <v>33313.477204408293</v>
      </c>
    </row>
    <row r="201" spans="3:18" x14ac:dyDescent="0.25">
      <c r="C201" s="1" t="s">
        <v>146</v>
      </c>
      <c r="H201" s="34"/>
      <c r="I201" s="34"/>
      <c r="J201" s="34"/>
      <c r="K201" s="34"/>
      <c r="L201" s="34"/>
      <c r="M201" s="34"/>
      <c r="N201" s="34"/>
      <c r="O201" s="34">
        <f ca="1">O181*D196/D191</f>
        <v>43416.25468370632</v>
      </c>
      <c r="P201" s="34">
        <f ca="1">IF(P177-$O$177&lt;=$D$191,$O$181/$D$191,0)</f>
        <v>43416.25468370632</v>
      </c>
      <c r="Q201" s="34">
        <f t="shared" ref="Q201:R201" ca="1" si="109">IF(Q177-$O$177&lt;=$D$191,$O$181/$D$191,0)</f>
        <v>43416.25468370632</v>
      </c>
      <c r="R201" s="34">
        <f t="shared" ca="1" si="109"/>
        <v>43416.25468370632</v>
      </c>
    </row>
    <row r="202" spans="3:18" x14ac:dyDescent="0.25">
      <c r="C202" s="1" t="s">
        <v>147</v>
      </c>
      <c r="H202" s="34"/>
      <c r="I202" s="34"/>
      <c r="J202" s="34"/>
      <c r="K202" s="34"/>
      <c r="L202" s="34"/>
      <c r="M202" s="34"/>
      <c r="N202" s="34"/>
      <c r="O202" s="34"/>
      <c r="P202" s="34">
        <f ca="1">P181*D196/D191</f>
        <v>55111.561004509065</v>
      </c>
      <c r="Q202" s="34">
        <f ca="1">IF(Q177-$P$177&lt;=$D$191,$P$181/$D$191,0)</f>
        <v>55111.561004509065</v>
      </c>
      <c r="R202" s="34">
        <f ca="1">IF(R177-$P$177&lt;=$D$191,$P$181/$D$191,0)</f>
        <v>55111.561004509065</v>
      </c>
    </row>
    <row r="203" spans="3:18" x14ac:dyDescent="0.25">
      <c r="C203" s="1" t="s">
        <v>148</v>
      </c>
      <c r="H203" s="34"/>
      <c r="I203" s="34"/>
      <c r="J203" s="34"/>
      <c r="K203" s="34"/>
      <c r="L203" s="34"/>
      <c r="M203" s="34"/>
      <c r="N203" s="34"/>
      <c r="O203" s="34"/>
      <c r="P203" s="34"/>
      <c r="Q203" s="34">
        <f ca="1">Q181*D196/D191</f>
        <v>67918.22859089158</v>
      </c>
      <c r="R203" s="34">
        <f ca="1">IF(R177-$Q$177&lt;=$D$191,$Q$181/$D$191,0)</f>
        <v>67918.22859089158</v>
      </c>
    </row>
    <row r="204" spans="3:18" x14ac:dyDescent="0.25">
      <c r="C204" s="5" t="s">
        <v>149</v>
      </c>
      <c r="D204" s="5"/>
      <c r="E204" s="5"/>
      <c r="F204" s="5"/>
      <c r="G204" s="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>
        <f ca="1">R181*D196/D191</f>
        <v>81015.531761390535</v>
      </c>
    </row>
    <row r="205" spans="3:18" x14ac:dyDescent="0.25">
      <c r="C205" s="11" t="s">
        <v>152</v>
      </c>
      <c r="H205" s="34"/>
      <c r="I205" s="39">
        <f t="shared" ref="I205:R205" ca="1" si="110">SUM(I194:I204)</f>
        <v>18793.439600299782</v>
      </c>
      <c r="J205" s="39">
        <f t="shared" ca="1" si="110"/>
        <v>24919.027901339632</v>
      </c>
      <c r="K205" s="39">
        <f t="shared" ca="1" si="110"/>
        <v>35794.181924151613</v>
      </c>
      <c r="L205" s="39">
        <f t="shared" ca="1" si="110"/>
        <v>52428.35824183662</v>
      </c>
      <c r="M205" s="39">
        <f t="shared" ca="1" si="110"/>
        <v>76163.707331037294</v>
      </c>
      <c r="N205" s="39">
        <f t="shared" ca="1" si="110"/>
        <v>108585.52799777845</v>
      </c>
      <c r="O205" s="39">
        <f t="shared" ca="1" si="110"/>
        <v>151364.88515457968</v>
      </c>
      <c r="P205" s="39">
        <f t="shared" ca="1" si="110"/>
        <v>204884.20234182602</v>
      </c>
      <c r="Q205" s="39">
        <f t="shared" ca="1" si="110"/>
        <v>265997.84847527498</v>
      </c>
      <c r="R205" s="39">
        <f t="shared" ca="1" si="110"/>
        <v>337462.40418052359</v>
      </c>
    </row>
    <row r="206" spans="3:18" x14ac:dyDescent="0.25">
      <c r="C206" s="11"/>
      <c r="H206" s="34"/>
      <c r="I206" s="39"/>
      <c r="J206" s="39"/>
      <c r="K206" s="39"/>
      <c r="L206" s="39"/>
      <c r="M206" s="39"/>
      <c r="N206" s="39"/>
      <c r="O206" s="39"/>
      <c r="P206" s="39"/>
      <c r="Q206" s="39"/>
      <c r="R206" s="39"/>
    </row>
    <row r="207" spans="3:18" x14ac:dyDescent="0.25">
      <c r="C207" s="50" t="s">
        <v>153</v>
      </c>
      <c r="D207" s="5"/>
      <c r="E207" s="5"/>
      <c r="F207" s="5"/>
      <c r="G207" s="5"/>
      <c r="H207" s="35"/>
      <c r="I207" s="66"/>
      <c r="J207" s="66"/>
      <c r="K207" s="66"/>
      <c r="L207" s="66"/>
      <c r="M207" s="66"/>
      <c r="N207" s="66"/>
      <c r="O207" s="66"/>
      <c r="P207" s="66"/>
      <c r="Q207" s="66"/>
      <c r="R207" s="66"/>
    </row>
    <row r="208" spans="3:18" x14ac:dyDescent="0.25">
      <c r="C208" s="1" t="s">
        <v>154</v>
      </c>
      <c r="D208" s="34"/>
      <c r="E208" s="34"/>
      <c r="F208" s="34"/>
      <c r="G208" s="34"/>
      <c r="H208" s="34">
        <f>H31+H182</f>
        <v>4585</v>
      </c>
      <c r="I208" s="34">
        <f t="shared" ref="I208:R208" ca="1" si="111">I13*I209</f>
        <v>6445.6960619686415</v>
      </c>
      <c r="J208" s="34">
        <f t="shared" ca="1" si="111"/>
        <v>9047.2397297052703</v>
      </c>
      <c r="K208" s="34">
        <f t="shared" ca="1" si="111"/>
        <v>12619.239792452181</v>
      </c>
      <c r="L208" s="34">
        <f t="shared" ca="1" si="111"/>
        <v>17412.331426890272</v>
      </c>
      <c r="M208" s="34">
        <f t="shared" ca="1" si="111"/>
        <v>23665.982888403647</v>
      </c>
      <c r="N208" s="34">
        <f t="shared" ca="1" si="111"/>
        <v>31556.462159125316</v>
      </c>
      <c r="O208" s="34">
        <f t="shared" ca="1" si="111"/>
        <v>41126.400273701496</v>
      </c>
      <c r="P208" s="34">
        <f t="shared" ca="1" si="111"/>
        <v>52204.874282501565</v>
      </c>
      <c r="Q208" s="34">
        <f t="shared" ca="1" si="111"/>
        <v>64336.094286779553</v>
      </c>
      <c r="R208" s="34">
        <f t="shared" ca="1" si="111"/>
        <v>76742.621211316582</v>
      </c>
    </row>
    <row r="209" spans="2:18" x14ac:dyDescent="0.25">
      <c r="C209" s="1" t="s">
        <v>155</v>
      </c>
      <c r="H209" s="42">
        <f>H208/H13</f>
        <v>1.0244789010972314E-3</v>
      </c>
      <c r="I209" s="59">
        <f>H209</f>
        <v>1.0244789010972314E-3</v>
      </c>
      <c r="J209" s="59">
        <f t="shared" ref="J209:R209" si="112">I209</f>
        <v>1.0244789010972314E-3</v>
      </c>
      <c r="K209" s="59">
        <f t="shared" si="112"/>
        <v>1.0244789010972314E-3</v>
      </c>
      <c r="L209" s="59">
        <f t="shared" si="112"/>
        <v>1.0244789010972314E-3</v>
      </c>
      <c r="M209" s="59">
        <f t="shared" si="112"/>
        <v>1.0244789010972314E-3</v>
      </c>
      <c r="N209" s="59">
        <f t="shared" si="112"/>
        <v>1.0244789010972314E-3</v>
      </c>
      <c r="O209" s="59">
        <f t="shared" si="112"/>
        <v>1.0244789010972314E-3</v>
      </c>
      <c r="P209" s="59">
        <f t="shared" si="112"/>
        <v>1.0244789010972314E-3</v>
      </c>
      <c r="Q209" s="59">
        <f t="shared" si="112"/>
        <v>1.0244789010972314E-3</v>
      </c>
      <c r="R209" s="59">
        <f t="shared" si="112"/>
        <v>1.0244789010972314E-3</v>
      </c>
    </row>
    <row r="210" spans="2:18" x14ac:dyDescent="0.25">
      <c r="C210" s="11" t="s">
        <v>156</v>
      </c>
      <c r="H210" s="39">
        <f>H208-H182</f>
        <v>26145</v>
      </c>
      <c r="I210" s="39">
        <f t="shared" ref="I210:R210" ca="1" si="113">I208-I182</f>
        <v>25239.135662268425</v>
      </c>
      <c r="J210" s="39">
        <f t="shared" ca="1" si="113"/>
        <v>33966.267631044902</v>
      </c>
      <c r="K210" s="39">
        <f t="shared" ca="1" si="113"/>
        <v>48413.421716603792</v>
      </c>
      <c r="L210" s="39">
        <f t="shared" ca="1" si="113"/>
        <v>69840.689668726889</v>
      </c>
      <c r="M210" s="39">
        <f t="shared" ca="1" si="113"/>
        <v>99829.690219440934</v>
      </c>
      <c r="N210" s="39">
        <f t="shared" ca="1" si="113"/>
        <v>140141.99015690378</v>
      </c>
      <c r="O210" s="39">
        <f t="shared" ca="1" si="113"/>
        <v>192491.28542828117</v>
      </c>
      <c r="P210" s="39">
        <f t="shared" ca="1" si="113"/>
        <v>257089.07662432757</v>
      </c>
      <c r="Q210" s="39">
        <f t="shared" ca="1" si="113"/>
        <v>330333.9427620545</v>
      </c>
      <c r="R210" s="39">
        <f t="shared" ca="1" si="113"/>
        <v>414205.02539184014</v>
      </c>
    </row>
    <row r="211" spans="2:18" x14ac:dyDescent="0.25">
      <c r="C211" s="11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</row>
    <row r="212" spans="2:18" x14ac:dyDescent="0.25">
      <c r="C212" s="11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</row>
    <row r="213" spans="2:18" x14ac:dyDescent="0.25">
      <c r="B213" s="1" t="s">
        <v>33</v>
      </c>
      <c r="C213" s="6" t="s">
        <v>45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8"/>
    </row>
    <row r="214" spans="2:18" x14ac:dyDescent="0.25">
      <c r="C214" s="11" t="s">
        <v>17</v>
      </c>
      <c r="D214" s="26">
        <v>2021</v>
      </c>
      <c r="E214" s="26">
        <v>2022</v>
      </c>
      <c r="F214" s="26">
        <v>2023</v>
      </c>
      <c r="G214" s="26">
        <v>2024</v>
      </c>
      <c r="H214" s="26">
        <v>2025</v>
      </c>
      <c r="I214" s="27">
        <v>2026</v>
      </c>
      <c r="J214" s="27">
        <v>2027</v>
      </c>
      <c r="K214" s="27">
        <v>2028</v>
      </c>
      <c r="L214" s="27">
        <v>2029</v>
      </c>
      <c r="M214" s="27">
        <v>2030</v>
      </c>
      <c r="N214" s="27">
        <v>2031</v>
      </c>
      <c r="O214" s="27">
        <v>2032</v>
      </c>
      <c r="P214" s="27">
        <v>2033</v>
      </c>
      <c r="Q214" s="27">
        <v>2034</v>
      </c>
      <c r="R214" s="27">
        <v>2035</v>
      </c>
    </row>
    <row r="215" spans="2:18" x14ac:dyDescent="0.25">
      <c r="C215" s="12" t="s">
        <v>18</v>
      </c>
      <c r="D215" s="28">
        <v>44561</v>
      </c>
      <c r="E215" s="28">
        <f>EOMONTH(D215,12)</f>
        <v>44926</v>
      </c>
      <c r="F215" s="28">
        <f>EOMONTH(E215,12)</f>
        <v>45291</v>
      </c>
      <c r="G215" s="28">
        <f t="shared" ref="G215:R215" si="114">EOMONTH(F215,12)</f>
        <v>45657</v>
      </c>
      <c r="H215" s="28">
        <f t="shared" si="114"/>
        <v>46022</v>
      </c>
      <c r="I215" s="28">
        <f t="shared" si="114"/>
        <v>46387</v>
      </c>
      <c r="J215" s="28">
        <f t="shared" si="114"/>
        <v>46752</v>
      </c>
      <c r="K215" s="28">
        <f t="shared" si="114"/>
        <v>47118</v>
      </c>
      <c r="L215" s="28">
        <f t="shared" si="114"/>
        <v>47483</v>
      </c>
      <c r="M215" s="28">
        <f t="shared" si="114"/>
        <v>47848</v>
      </c>
      <c r="N215" s="28">
        <f t="shared" si="114"/>
        <v>48213</v>
      </c>
      <c r="O215" s="28">
        <f t="shared" si="114"/>
        <v>48579</v>
      </c>
      <c r="P215" s="28">
        <f t="shared" si="114"/>
        <v>48944</v>
      </c>
      <c r="Q215" s="28">
        <f t="shared" si="114"/>
        <v>49309</v>
      </c>
      <c r="R215" s="28">
        <f t="shared" si="114"/>
        <v>49674</v>
      </c>
    </row>
    <row r="216" spans="2:18" x14ac:dyDescent="0.25">
      <c r="C216" s="11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spans="2:18" x14ac:dyDescent="0.25">
      <c r="C217" s="1" t="s">
        <v>114</v>
      </c>
      <c r="D217" s="39"/>
      <c r="E217" s="39"/>
      <c r="F217" s="39"/>
      <c r="G217" s="39"/>
      <c r="H217" s="39"/>
      <c r="I217" s="34">
        <f>H220</f>
        <v>290153</v>
      </c>
      <c r="J217" s="34">
        <f t="shared" ref="J217:R217" ca="1" si="115">I220</f>
        <v>407903.60948056425</v>
      </c>
      <c r="K217" s="34">
        <f t="shared" ca="1" si="115"/>
        <v>572537.34990036499</v>
      </c>
      <c r="L217" s="34">
        <f t="shared" ca="1" si="115"/>
        <v>798584.57655384461</v>
      </c>
      <c r="M217" s="34">
        <f t="shared" ca="1" si="115"/>
        <v>1101906.2596524521</v>
      </c>
      <c r="N217" s="34">
        <f t="shared" ca="1" si="115"/>
        <v>1497656.6920433987</v>
      </c>
      <c r="O217" s="34">
        <f t="shared" ca="1" si="115"/>
        <v>1996990.6575478052</v>
      </c>
      <c r="P217" s="34">
        <f t="shared" ca="1" si="115"/>
        <v>2602605.9800687698</v>
      </c>
      <c r="Q217" s="34">
        <f t="shared" ca="1" si="115"/>
        <v>3303686.1259957855</v>
      </c>
      <c r="R217" s="34">
        <f t="shared" ca="1" si="115"/>
        <v>4071387.2989295414</v>
      </c>
    </row>
    <row r="218" spans="2:18" x14ac:dyDescent="0.25">
      <c r="C218" s="1" t="s">
        <v>180</v>
      </c>
      <c r="D218" s="39"/>
      <c r="E218" s="39"/>
      <c r="F218" s="39"/>
      <c r="G218" s="39"/>
      <c r="H218" s="39"/>
      <c r="I218" s="34">
        <f ca="1">-I208</f>
        <v>-6445.6960619686415</v>
      </c>
      <c r="J218" s="34">
        <f t="shared" ref="J218:R218" ca="1" si="116">-J208</f>
        <v>-9047.2397297052703</v>
      </c>
      <c r="K218" s="34">
        <f t="shared" ca="1" si="116"/>
        <v>-12619.239792452181</v>
      </c>
      <c r="L218" s="34">
        <f t="shared" ca="1" si="116"/>
        <v>-17412.331426890272</v>
      </c>
      <c r="M218" s="34">
        <f t="shared" ca="1" si="116"/>
        <v>-23665.982888403647</v>
      </c>
      <c r="N218" s="34">
        <f t="shared" ca="1" si="116"/>
        <v>-31556.462159125316</v>
      </c>
      <c r="O218" s="34">
        <f t="shared" ca="1" si="116"/>
        <v>-41126.400273701496</v>
      </c>
      <c r="P218" s="34">
        <f t="shared" ca="1" si="116"/>
        <v>-52204.874282501565</v>
      </c>
      <c r="Q218" s="34">
        <f t="shared" ca="1" si="116"/>
        <v>-64336.094286779553</v>
      </c>
      <c r="R218" s="34">
        <f t="shared" ca="1" si="116"/>
        <v>-76742.621211316582</v>
      </c>
    </row>
    <row r="219" spans="2:18" x14ac:dyDescent="0.25">
      <c r="C219" s="5" t="s">
        <v>179</v>
      </c>
      <c r="D219" s="66"/>
      <c r="E219" s="66"/>
      <c r="F219" s="66"/>
      <c r="G219" s="66"/>
      <c r="H219" s="66"/>
      <c r="I219" s="35">
        <f ca="1">I220-I217-I218</f>
        <v>124196.30554253289</v>
      </c>
      <c r="J219" s="35">
        <f t="shared" ref="J219:R219" ca="1" si="117">J220-J217-J218</f>
        <v>173680.98014950601</v>
      </c>
      <c r="K219" s="35">
        <f t="shared" ca="1" si="117"/>
        <v>238666.46644593182</v>
      </c>
      <c r="L219" s="35">
        <f t="shared" ca="1" si="117"/>
        <v>320734.01452549774</v>
      </c>
      <c r="M219" s="35">
        <f t="shared" ca="1" si="117"/>
        <v>419416.4152793503</v>
      </c>
      <c r="N219" s="35">
        <f t="shared" ca="1" si="117"/>
        <v>530890.42766353185</v>
      </c>
      <c r="O219" s="35">
        <f t="shared" ca="1" si="117"/>
        <v>646741.72279466607</v>
      </c>
      <c r="P219" s="35">
        <f t="shared" ca="1" si="117"/>
        <v>753285.02020951721</v>
      </c>
      <c r="Q219" s="35">
        <f t="shared" ca="1" si="117"/>
        <v>832037.26722053543</v>
      </c>
      <c r="R219" s="35">
        <f t="shared" ca="1" si="117"/>
        <v>861866.06869990856</v>
      </c>
    </row>
    <row r="220" spans="2:18" x14ac:dyDescent="0.25">
      <c r="C220" s="11" t="s">
        <v>113</v>
      </c>
      <c r="D220" s="34"/>
      <c r="E220" s="34"/>
      <c r="F220" s="34"/>
      <c r="G220" s="34"/>
      <c r="H220" s="39">
        <f>H57</f>
        <v>290153</v>
      </c>
      <c r="I220" s="39">
        <f t="shared" ref="I220:R220" ca="1" si="118">I57</f>
        <v>407903.60948056425</v>
      </c>
      <c r="J220" s="39">
        <f t="shared" ca="1" si="118"/>
        <v>572537.34990036499</v>
      </c>
      <c r="K220" s="39">
        <f t="shared" ca="1" si="118"/>
        <v>798584.57655384461</v>
      </c>
      <c r="L220" s="39">
        <f t="shared" ca="1" si="118"/>
        <v>1101906.2596524521</v>
      </c>
      <c r="M220" s="39">
        <f t="shared" ca="1" si="118"/>
        <v>1497656.6920433987</v>
      </c>
      <c r="N220" s="39">
        <f t="shared" ca="1" si="118"/>
        <v>1996990.6575478052</v>
      </c>
      <c r="O220" s="39">
        <f t="shared" ca="1" si="118"/>
        <v>2602605.9800687698</v>
      </c>
      <c r="P220" s="39">
        <f t="shared" ca="1" si="118"/>
        <v>3303686.1259957855</v>
      </c>
      <c r="Q220" s="39">
        <f t="shared" ca="1" si="118"/>
        <v>4071387.2989295414</v>
      </c>
      <c r="R220" s="39">
        <f t="shared" ca="1" si="118"/>
        <v>4856510.7464181334</v>
      </c>
    </row>
    <row r="221" spans="2:18" x14ac:dyDescent="0.25">
      <c r="C221" s="11"/>
      <c r="H221" s="34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3" spans="2:18" x14ac:dyDescent="0.25">
      <c r="B223" s="1" t="s">
        <v>33</v>
      </c>
      <c r="C223" s="6" t="s">
        <v>108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8"/>
    </row>
    <row r="224" spans="2:18" x14ac:dyDescent="0.25">
      <c r="C224" s="11" t="s">
        <v>17</v>
      </c>
      <c r="D224" s="26">
        <v>2021</v>
      </c>
      <c r="E224" s="26">
        <v>2022</v>
      </c>
      <c r="F224" s="26">
        <v>2023</v>
      </c>
      <c r="G224" s="26">
        <v>2024</v>
      </c>
      <c r="H224" s="26">
        <v>2025</v>
      </c>
      <c r="I224" s="27">
        <v>2026</v>
      </c>
      <c r="J224" s="27">
        <v>2027</v>
      </c>
      <c r="K224" s="27">
        <v>2028</v>
      </c>
      <c r="L224" s="27">
        <v>2029</v>
      </c>
      <c r="M224" s="27">
        <v>2030</v>
      </c>
      <c r="N224" s="27">
        <v>2031</v>
      </c>
      <c r="O224" s="27">
        <v>2032</v>
      </c>
      <c r="P224" s="27">
        <v>2033</v>
      </c>
      <c r="Q224" s="27">
        <v>2034</v>
      </c>
      <c r="R224" s="27">
        <v>2035</v>
      </c>
    </row>
    <row r="225" spans="3:18" x14ac:dyDescent="0.25">
      <c r="C225" s="12" t="s">
        <v>18</v>
      </c>
      <c r="D225" s="28">
        <v>44561</v>
      </c>
      <c r="E225" s="28">
        <f>EOMONTH(D225,12)</f>
        <v>44926</v>
      </c>
      <c r="F225" s="28">
        <f>EOMONTH(E225,12)</f>
        <v>45291</v>
      </c>
      <c r="G225" s="28">
        <f t="shared" ref="G225:R225" si="119">EOMONTH(F225,12)</f>
        <v>45657</v>
      </c>
      <c r="H225" s="28">
        <f t="shared" si="119"/>
        <v>46022</v>
      </c>
      <c r="I225" s="28">
        <f t="shared" si="119"/>
        <v>46387</v>
      </c>
      <c r="J225" s="28">
        <f t="shared" si="119"/>
        <v>46752</v>
      </c>
      <c r="K225" s="28">
        <f t="shared" si="119"/>
        <v>47118</v>
      </c>
      <c r="L225" s="28">
        <f t="shared" si="119"/>
        <v>47483</v>
      </c>
      <c r="M225" s="28">
        <f t="shared" si="119"/>
        <v>47848</v>
      </c>
      <c r="N225" s="28">
        <f t="shared" si="119"/>
        <v>48213</v>
      </c>
      <c r="O225" s="28">
        <f t="shared" si="119"/>
        <v>48579</v>
      </c>
      <c r="P225" s="28">
        <f t="shared" si="119"/>
        <v>48944</v>
      </c>
      <c r="Q225" s="28">
        <f t="shared" si="119"/>
        <v>49309</v>
      </c>
      <c r="R225" s="28">
        <f t="shared" si="119"/>
        <v>49674</v>
      </c>
    </row>
    <row r="227" spans="3:18" x14ac:dyDescent="0.25">
      <c r="C227" s="1" t="s">
        <v>72</v>
      </c>
      <c r="D227" s="34"/>
      <c r="E227" s="34"/>
      <c r="F227" s="34"/>
      <c r="G227" s="34"/>
      <c r="H227" s="34"/>
      <c r="I227" s="53">
        <f>H52</f>
        <v>7177043</v>
      </c>
      <c r="J227" s="53">
        <f t="shared" ref="J227:R227" ca="1" si="120">I52</f>
        <v>9633508.3800544329</v>
      </c>
      <c r="K227" s="53">
        <f t="shared" ca="1" si="120"/>
        <v>13250455.132056419</v>
      </c>
      <c r="L227" s="53">
        <f t="shared" ca="1" si="120"/>
        <v>18488610.49934347</v>
      </c>
      <c r="M227" s="53">
        <f t="shared" ca="1" si="120"/>
        <v>26005418.981034409</v>
      </c>
      <c r="N227" s="53">
        <f t="shared" ca="1" si="120"/>
        <v>36570029.276698686</v>
      </c>
      <c r="O227" s="53">
        <f t="shared" ca="1" si="120"/>
        <v>51271034.23639074</v>
      </c>
      <c r="P227" s="53">
        <f t="shared" ca="1" si="120"/>
        <v>71085734.052569181</v>
      </c>
      <c r="Q227" s="53">
        <f t="shared" ca="1" si="120"/>
        <v>97107059.58942616</v>
      </c>
      <c r="R227" s="53">
        <f t="shared" ca="1" si="120"/>
        <v>130302067.79789074</v>
      </c>
    </row>
    <row r="228" spans="3:18" x14ac:dyDescent="0.25">
      <c r="C228" s="1" t="s">
        <v>176</v>
      </c>
      <c r="D228" s="34"/>
      <c r="E228" s="34"/>
      <c r="F228" s="34"/>
      <c r="G228" s="34"/>
      <c r="H228" s="34"/>
      <c r="I228" s="34">
        <f ca="1">I97+I100+I103</f>
        <v>2456465.3800544324</v>
      </c>
      <c r="J228" s="34">
        <f t="shared" ref="J228:R228" ca="1" si="121">J97+J100+J103</f>
        <v>3616946.7520019859</v>
      </c>
      <c r="K228" s="34">
        <f t="shared" ca="1" si="121"/>
        <v>5238155.3672870509</v>
      </c>
      <c r="L228" s="34">
        <f t="shared" ca="1" si="121"/>
        <v>7516808.4816909386</v>
      </c>
      <c r="M228" s="34">
        <f t="shared" ca="1" si="121"/>
        <v>10564610.295664279</v>
      </c>
      <c r="N228" s="34">
        <f t="shared" ca="1" si="121"/>
        <v>14701004.959692057</v>
      </c>
      <c r="O228" s="34">
        <f t="shared" ca="1" si="121"/>
        <v>19814699.816178434</v>
      </c>
      <c r="P228" s="34">
        <f t="shared" ca="1" si="121"/>
        <v>26021325.536856972</v>
      </c>
      <c r="Q228" s="34">
        <f t="shared" ca="1" si="121"/>
        <v>33195008.208464578</v>
      </c>
      <c r="R228" s="34">
        <f t="shared" ca="1" si="121"/>
        <v>41033353.633918487</v>
      </c>
    </row>
    <row r="229" spans="3:18" x14ac:dyDescent="0.25">
      <c r="C229" s="5" t="s">
        <v>168</v>
      </c>
      <c r="D229" s="35"/>
      <c r="E229" s="35"/>
      <c r="F229" s="35"/>
      <c r="G229" s="35"/>
      <c r="H229" s="35"/>
      <c r="I229" s="35">
        <f ca="1">-0.02*I13</f>
        <v>-125833.65172411475</v>
      </c>
      <c r="J229" s="35">
        <f t="shared" ref="J229:R229" ca="1" si="122">-0.02*J13</f>
        <v>-176621.29927742874</v>
      </c>
      <c r="K229" s="35">
        <f t="shared" ca="1" si="122"/>
        <v>-246354.31298656901</v>
      </c>
      <c r="L229" s="35">
        <f t="shared" ca="1" si="122"/>
        <v>-339925.62283598847</v>
      </c>
      <c r="M229" s="35">
        <f t="shared" ca="1" si="122"/>
        <v>-462010.15683304059</v>
      </c>
      <c r="N229" s="35">
        <f t="shared" ca="1" si="122"/>
        <v>-616049.03966939484</v>
      </c>
      <c r="O229" s="35">
        <f t="shared" ca="1" si="122"/>
        <v>-802874.51951727923</v>
      </c>
      <c r="P229" s="35">
        <f t="shared" ca="1" si="122"/>
        <v>-1019149.8180507068</v>
      </c>
      <c r="Q229" s="35">
        <f t="shared" ca="1" si="122"/>
        <v>-1255976.9501914522</v>
      </c>
      <c r="R229" s="35">
        <f t="shared" ca="1" si="122"/>
        <v>-1498178.657054316</v>
      </c>
    </row>
    <row r="230" spans="3:18" x14ac:dyDescent="0.25">
      <c r="C230" s="11" t="s">
        <v>167</v>
      </c>
      <c r="D230" s="39"/>
      <c r="E230" s="39"/>
      <c r="F230" s="39"/>
      <c r="G230" s="39"/>
      <c r="H230" s="39"/>
      <c r="I230" s="39">
        <f t="shared" ref="I230:R230" ca="1" si="123">SUM(I227:I229)</f>
        <v>9507674.7283303179</v>
      </c>
      <c r="J230" s="39">
        <f t="shared" ca="1" si="123"/>
        <v>13073833.83277899</v>
      </c>
      <c r="K230" s="39">
        <f t="shared" ca="1" si="123"/>
        <v>18242256.186356902</v>
      </c>
      <c r="L230" s="39">
        <f t="shared" ca="1" si="123"/>
        <v>25665493.358198419</v>
      </c>
      <c r="M230" s="39">
        <f t="shared" ca="1" si="123"/>
        <v>36108019.119865648</v>
      </c>
      <c r="N230" s="39">
        <f t="shared" ca="1" si="123"/>
        <v>50654985.196721345</v>
      </c>
      <c r="O230" s="39">
        <f t="shared" ca="1" si="123"/>
        <v>70282859.533051908</v>
      </c>
      <c r="P230" s="39">
        <f t="shared" ca="1" si="123"/>
        <v>96087909.771375448</v>
      </c>
      <c r="Q230" s="39">
        <f t="shared" ca="1" si="123"/>
        <v>129046090.84769928</v>
      </c>
      <c r="R230" s="39">
        <f t="shared" ca="1" si="123"/>
        <v>169837242.77475491</v>
      </c>
    </row>
    <row r="232" spans="3:18" x14ac:dyDescent="0.25">
      <c r="C232" s="11" t="s">
        <v>169</v>
      </c>
    </row>
    <row r="233" spans="3:18" x14ac:dyDescent="0.25">
      <c r="C233" s="1" t="s">
        <v>170</v>
      </c>
      <c r="D233" s="68">
        <v>0</v>
      </c>
      <c r="E233" s="68">
        <v>0</v>
      </c>
      <c r="F233" s="68">
        <v>0</v>
      </c>
      <c r="G233" s="68">
        <v>0</v>
      </c>
      <c r="H233" s="68">
        <v>0</v>
      </c>
      <c r="I233" s="68">
        <v>0</v>
      </c>
      <c r="J233" s="68">
        <v>0</v>
      </c>
      <c r="K233" s="68">
        <v>0</v>
      </c>
      <c r="L233" s="68">
        <v>0</v>
      </c>
      <c r="M233" s="68">
        <v>0</v>
      </c>
      <c r="N233" s="68">
        <v>0</v>
      </c>
      <c r="O233" s="68">
        <v>0</v>
      </c>
      <c r="P233" s="68">
        <v>0</v>
      </c>
      <c r="Q233" s="68">
        <v>0</v>
      </c>
      <c r="R233" s="68">
        <v>0</v>
      </c>
    </row>
    <row r="234" spans="3:18" x14ac:dyDescent="0.25">
      <c r="C234" s="1" t="s">
        <v>171</v>
      </c>
      <c r="D234" s="68">
        <v>0</v>
      </c>
      <c r="E234" s="68">
        <v>0</v>
      </c>
      <c r="F234" s="68">
        <v>0</v>
      </c>
      <c r="G234" s="68">
        <v>0</v>
      </c>
      <c r="H234" s="68">
        <v>0</v>
      </c>
      <c r="I234" s="68">
        <v>0</v>
      </c>
      <c r="J234" s="68">
        <v>0</v>
      </c>
      <c r="K234" s="68">
        <v>0</v>
      </c>
      <c r="L234" s="68">
        <v>0</v>
      </c>
      <c r="M234" s="68">
        <v>0</v>
      </c>
      <c r="N234" s="68">
        <v>0</v>
      </c>
      <c r="O234" s="68">
        <v>0</v>
      </c>
      <c r="P234" s="68">
        <v>0</v>
      </c>
      <c r="Q234" s="68">
        <v>0</v>
      </c>
      <c r="R234" s="68">
        <v>0</v>
      </c>
    </row>
    <row r="235" spans="3:18" x14ac:dyDescent="0.25">
      <c r="C235" s="5" t="s">
        <v>172</v>
      </c>
      <c r="D235" s="69">
        <v>0</v>
      </c>
      <c r="E235" s="69">
        <v>0</v>
      </c>
      <c r="F235" s="69">
        <v>0</v>
      </c>
      <c r="G235" s="69">
        <v>0</v>
      </c>
      <c r="H235" s="69">
        <v>0</v>
      </c>
      <c r="I235" s="69">
        <v>0</v>
      </c>
      <c r="J235" s="69">
        <v>0</v>
      </c>
      <c r="K235" s="69">
        <v>0</v>
      </c>
      <c r="L235" s="69">
        <v>0</v>
      </c>
      <c r="M235" s="69">
        <v>0</v>
      </c>
      <c r="N235" s="69">
        <v>0</v>
      </c>
      <c r="O235" s="69">
        <v>0</v>
      </c>
      <c r="P235" s="69">
        <v>0</v>
      </c>
      <c r="Q235" s="69">
        <v>0</v>
      </c>
      <c r="R235" s="69">
        <v>0</v>
      </c>
    </row>
    <row r="236" spans="3:18" x14ac:dyDescent="0.25">
      <c r="C236" s="11" t="s">
        <v>113</v>
      </c>
      <c r="D236" s="195">
        <v>0</v>
      </c>
      <c r="E236" s="195">
        <v>0</v>
      </c>
      <c r="F236" s="195">
        <v>0</v>
      </c>
      <c r="G236" s="195">
        <v>0</v>
      </c>
      <c r="H236" s="195">
        <v>0</v>
      </c>
      <c r="I236" s="195">
        <v>0</v>
      </c>
      <c r="J236" s="195">
        <v>0</v>
      </c>
      <c r="K236" s="195">
        <v>0</v>
      </c>
      <c r="L236" s="195">
        <v>0</v>
      </c>
      <c r="M236" s="195">
        <v>0</v>
      </c>
      <c r="N236" s="195">
        <v>0</v>
      </c>
      <c r="O236" s="195">
        <v>0</v>
      </c>
      <c r="P236" s="195">
        <v>0</v>
      </c>
      <c r="Q236" s="195">
        <v>0</v>
      </c>
      <c r="R236" s="195">
        <v>0</v>
      </c>
    </row>
    <row r="238" spans="3:18" x14ac:dyDescent="0.25">
      <c r="C238" s="11" t="s">
        <v>173</v>
      </c>
    </row>
    <row r="239" spans="3:18" x14ac:dyDescent="0.25">
      <c r="C239" s="1" t="s">
        <v>114</v>
      </c>
      <c r="D239" s="68">
        <v>0</v>
      </c>
      <c r="E239" s="68">
        <v>0</v>
      </c>
      <c r="F239" s="68">
        <v>0</v>
      </c>
      <c r="G239" s="68">
        <v>0</v>
      </c>
      <c r="H239" s="68">
        <v>0</v>
      </c>
      <c r="I239" s="68">
        <v>0</v>
      </c>
      <c r="J239" s="68">
        <v>0</v>
      </c>
      <c r="K239" s="68">
        <v>0</v>
      </c>
      <c r="L239" s="68">
        <v>0</v>
      </c>
      <c r="M239" s="68">
        <v>0</v>
      </c>
      <c r="N239" s="68">
        <v>0</v>
      </c>
      <c r="O239" s="68">
        <v>0</v>
      </c>
      <c r="P239" s="68">
        <v>0</v>
      </c>
      <c r="Q239" s="68">
        <v>0</v>
      </c>
      <c r="R239" s="68">
        <v>0</v>
      </c>
    </row>
    <row r="240" spans="3:18" x14ac:dyDescent="0.25">
      <c r="C240" s="1" t="s">
        <v>171</v>
      </c>
      <c r="D240" s="68">
        <v>0</v>
      </c>
      <c r="E240" s="68">
        <v>0</v>
      </c>
      <c r="F240" s="68">
        <v>0</v>
      </c>
      <c r="G240" s="68">
        <v>0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v>0</v>
      </c>
      <c r="R240" s="68">
        <v>0</v>
      </c>
    </row>
    <row r="241" spans="2:18" x14ac:dyDescent="0.25">
      <c r="C241" s="5" t="s">
        <v>172</v>
      </c>
      <c r="D241" s="69">
        <v>0</v>
      </c>
      <c r="E241" s="69">
        <v>0</v>
      </c>
      <c r="F241" s="69">
        <v>0</v>
      </c>
      <c r="G241" s="69">
        <v>0</v>
      </c>
      <c r="H241" s="69">
        <v>0</v>
      </c>
      <c r="I241" s="69">
        <v>0</v>
      </c>
      <c r="J241" s="69">
        <v>0</v>
      </c>
      <c r="K241" s="69">
        <v>0</v>
      </c>
      <c r="L241" s="69">
        <v>0</v>
      </c>
      <c r="M241" s="69">
        <v>0</v>
      </c>
      <c r="N241" s="69">
        <v>0</v>
      </c>
      <c r="O241" s="69">
        <v>0</v>
      </c>
      <c r="P241" s="69">
        <v>0</v>
      </c>
      <c r="Q241" s="69">
        <v>0</v>
      </c>
      <c r="R241" s="69">
        <v>0</v>
      </c>
    </row>
    <row r="242" spans="2:18" x14ac:dyDescent="0.25">
      <c r="C242" s="11" t="s">
        <v>113</v>
      </c>
      <c r="D242" s="195">
        <v>0</v>
      </c>
      <c r="E242" s="195">
        <v>0</v>
      </c>
      <c r="F242" s="195">
        <v>0</v>
      </c>
      <c r="G242" s="195">
        <v>0</v>
      </c>
      <c r="H242" s="195">
        <v>0</v>
      </c>
      <c r="I242" s="195">
        <v>0</v>
      </c>
      <c r="J242" s="195">
        <v>0</v>
      </c>
      <c r="K242" s="195">
        <v>0</v>
      </c>
      <c r="L242" s="195">
        <v>0</v>
      </c>
      <c r="M242" s="195">
        <v>0</v>
      </c>
      <c r="N242" s="195">
        <v>0</v>
      </c>
      <c r="O242" s="195">
        <v>0</v>
      </c>
      <c r="P242" s="195">
        <v>0</v>
      </c>
      <c r="Q242" s="195">
        <v>0</v>
      </c>
      <c r="R242" s="195">
        <v>0</v>
      </c>
    </row>
    <row r="243" spans="2:18" x14ac:dyDescent="0.25">
      <c r="C243" s="1" t="s">
        <v>74</v>
      </c>
      <c r="D243" s="68">
        <v>0</v>
      </c>
      <c r="E243" s="68">
        <v>0</v>
      </c>
      <c r="F243" s="68">
        <v>0</v>
      </c>
      <c r="G243" s="68">
        <v>0</v>
      </c>
      <c r="H243" s="68">
        <v>0</v>
      </c>
      <c r="I243" s="68">
        <v>0</v>
      </c>
      <c r="J243" s="68">
        <v>0</v>
      </c>
      <c r="K243" s="68">
        <v>0</v>
      </c>
      <c r="L243" s="68">
        <v>0</v>
      </c>
      <c r="M243" s="68">
        <v>0</v>
      </c>
      <c r="N243" s="68">
        <v>0</v>
      </c>
      <c r="O243" s="68">
        <v>0</v>
      </c>
      <c r="P243" s="68">
        <v>0</v>
      </c>
      <c r="Q243" s="68">
        <v>0</v>
      </c>
      <c r="R243" s="68">
        <v>0</v>
      </c>
    </row>
    <row r="244" spans="2:18" x14ac:dyDescent="0.25">
      <c r="C244" s="1" t="s">
        <v>158</v>
      </c>
      <c r="D244" s="70">
        <v>0</v>
      </c>
      <c r="E244" s="70">
        <v>0</v>
      </c>
      <c r="F244" s="70">
        <v>0</v>
      </c>
      <c r="G244" s="70">
        <v>0</v>
      </c>
      <c r="H244" s="70">
        <v>0</v>
      </c>
      <c r="I244" s="70">
        <v>0</v>
      </c>
      <c r="J244" s="70">
        <v>0</v>
      </c>
      <c r="K244" s="70">
        <v>0</v>
      </c>
      <c r="L244" s="70">
        <v>0</v>
      </c>
      <c r="M244" s="70">
        <v>0</v>
      </c>
      <c r="N244" s="70">
        <v>0</v>
      </c>
      <c r="O244" s="70">
        <v>0</v>
      </c>
      <c r="P244" s="70">
        <v>0</v>
      </c>
      <c r="Q244" s="70">
        <v>0</v>
      </c>
      <c r="R244" s="70">
        <v>0</v>
      </c>
    </row>
    <row r="246" spans="2:18" x14ac:dyDescent="0.25">
      <c r="C246" s="1" t="s">
        <v>157</v>
      </c>
      <c r="D246" s="42">
        <f>D247/D52</f>
        <v>6.1782337786762129E-4</v>
      </c>
      <c r="E246" s="42">
        <f>E247/E52</f>
        <v>7.7112779670992053E-3</v>
      </c>
      <c r="F246" s="42">
        <f>F247/F52</f>
        <v>3.6082074389952153E-2</v>
      </c>
      <c r="G246" s="42">
        <f>G247/G52</f>
        <v>3.7627626990277413E-2</v>
      </c>
      <c r="H246" s="42">
        <f>H247/H52</f>
        <v>3.1932510366734598E-2</v>
      </c>
      <c r="I246" s="59">
        <f>H246</f>
        <v>3.1932510366734598E-2</v>
      </c>
      <c r="J246" s="59">
        <f t="shared" ref="J246:R246" si="124">I246</f>
        <v>3.1932510366734598E-2</v>
      </c>
      <c r="K246" s="59">
        <f t="shared" si="124"/>
        <v>3.1932510366734598E-2</v>
      </c>
      <c r="L246" s="59">
        <f t="shared" si="124"/>
        <v>3.1932510366734598E-2</v>
      </c>
      <c r="M246" s="59">
        <f t="shared" si="124"/>
        <v>3.1932510366734598E-2</v>
      </c>
      <c r="N246" s="59">
        <f t="shared" si="124"/>
        <v>3.1932510366734598E-2</v>
      </c>
      <c r="O246" s="59">
        <f t="shared" si="124"/>
        <v>3.1932510366734598E-2</v>
      </c>
      <c r="P246" s="59">
        <f t="shared" si="124"/>
        <v>3.1932510366734598E-2</v>
      </c>
      <c r="Q246" s="59">
        <f t="shared" si="124"/>
        <v>3.1932510366734598E-2</v>
      </c>
      <c r="R246" s="59">
        <f t="shared" si="124"/>
        <v>3.1932510366734598E-2</v>
      </c>
    </row>
    <row r="247" spans="2:18" x14ac:dyDescent="0.25">
      <c r="C247" s="1" t="s">
        <v>28</v>
      </c>
      <c r="D247" s="53">
        <f>D20</f>
        <v>1607</v>
      </c>
      <c r="E247" s="53">
        <f>E20</f>
        <v>20309</v>
      </c>
      <c r="F247" s="53">
        <f>F20</f>
        <v>132572</v>
      </c>
      <c r="G247" s="53">
        <f>G20</f>
        <v>196792</v>
      </c>
      <c r="H247" s="53">
        <f>H20</f>
        <v>229181</v>
      </c>
      <c r="I247" s="34">
        <f ca="1">IF($D$5=1,AVERAGE(H52:I52)*I246,0)</f>
        <v>268401.55310705642</v>
      </c>
      <c r="J247" s="34">
        <f t="shared" ref="J247:R247" ca="1" si="125">IF($D$5=1,AVERAGE(I52:J52)*J246,0)</f>
        <v>365371.20104122802</v>
      </c>
      <c r="K247" s="34">
        <f t="shared" ca="1" si="125"/>
        <v>506754.02115257335</v>
      </c>
      <c r="L247" s="34">
        <f t="shared" ca="1" si="125"/>
        <v>710403.0288199808</v>
      </c>
      <c r="M247" s="34">
        <f t="shared" ca="1" si="125"/>
        <v>999095.5750965632</v>
      </c>
      <c r="N247" s="34">
        <f t="shared" ca="1" si="125"/>
        <v>1402492.83562836</v>
      </c>
      <c r="O247" s="34">
        <f t="shared" ca="1" si="125"/>
        <v>1953579.385913678</v>
      </c>
      <c r="P247" s="34">
        <f t="shared" ca="1" si="125"/>
        <v>2685409.0632915348</v>
      </c>
      <c r="Q247" s="34">
        <f t="shared" ca="1" si="125"/>
        <v>3630872.1588927824</v>
      </c>
      <c r="R247" s="34">
        <f t="shared" ca="1" si="125"/>
        <v>4816021.1259115953</v>
      </c>
    </row>
    <row r="250" spans="2:18" x14ac:dyDescent="0.25">
      <c r="B250" s="1" t="s">
        <v>33</v>
      </c>
      <c r="C250" s="6" t="s">
        <v>85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8"/>
    </row>
    <row r="251" spans="2:18" x14ac:dyDescent="0.25">
      <c r="C251" s="11" t="s">
        <v>17</v>
      </c>
      <c r="D251" s="26">
        <v>2021</v>
      </c>
      <c r="E251" s="26">
        <v>2022</v>
      </c>
      <c r="F251" s="26">
        <v>2023</v>
      </c>
      <c r="G251" s="26">
        <v>2024</v>
      </c>
      <c r="H251" s="26">
        <v>2025</v>
      </c>
      <c r="I251" s="27">
        <v>2026</v>
      </c>
      <c r="J251" s="27">
        <v>2027</v>
      </c>
      <c r="K251" s="27">
        <v>2028</v>
      </c>
      <c r="L251" s="27">
        <v>2029</v>
      </c>
      <c r="M251" s="27">
        <v>2030</v>
      </c>
      <c r="N251" s="27">
        <v>2031</v>
      </c>
      <c r="O251" s="27">
        <v>2032</v>
      </c>
      <c r="P251" s="27">
        <v>2033</v>
      </c>
      <c r="Q251" s="27">
        <v>2034</v>
      </c>
      <c r="R251" s="27">
        <v>2035</v>
      </c>
    </row>
    <row r="252" spans="2:18" x14ac:dyDescent="0.25">
      <c r="C252" s="12" t="s">
        <v>18</v>
      </c>
      <c r="D252" s="28">
        <v>44561</v>
      </c>
      <c r="E252" s="28">
        <f>EOMONTH(D252,12)</f>
        <v>44926</v>
      </c>
      <c r="F252" s="28">
        <f>EOMONTH(E252,12)</f>
        <v>45291</v>
      </c>
      <c r="G252" s="28">
        <f t="shared" ref="G252:R252" si="126">EOMONTH(F252,12)</f>
        <v>45657</v>
      </c>
      <c r="H252" s="28">
        <f t="shared" si="126"/>
        <v>46022</v>
      </c>
      <c r="I252" s="28">
        <f t="shared" si="126"/>
        <v>46387</v>
      </c>
      <c r="J252" s="28">
        <f t="shared" si="126"/>
        <v>46752</v>
      </c>
      <c r="K252" s="28">
        <f t="shared" si="126"/>
        <v>47118</v>
      </c>
      <c r="L252" s="28">
        <f t="shared" si="126"/>
        <v>47483</v>
      </c>
      <c r="M252" s="28">
        <f t="shared" si="126"/>
        <v>47848</v>
      </c>
      <c r="N252" s="28">
        <f t="shared" si="126"/>
        <v>48213</v>
      </c>
      <c r="O252" s="28">
        <f t="shared" si="126"/>
        <v>48579</v>
      </c>
      <c r="P252" s="28">
        <f t="shared" si="126"/>
        <v>48944</v>
      </c>
      <c r="Q252" s="28">
        <f t="shared" si="126"/>
        <v>49309</v>
      </c>
      <c r="R252" s="28">
        <f t="shared" si="126"/>
        <v>49674</v>
      </c>
    </row>
    <row r="254" spans="2:18" x14ac:dyDescent="0.25">
      <c r="C254" s="1" t="s">
        <v>114</v>
      </c>
      <c r="D254" s="54"/>
      <c r="E254" s="53">
        <f>D257</f>
        <v>-5485733</v>
      </c>
      <c r="F254" s="53">
        <f>E257</f>
        <v>-5859438</v>
      </c>
      <c r="G254" s="53">
        <f t="shared" ref="G254:R254" si="127">F257</f>
        <v>-5649613</v>
      </c>
      <c r="H254" s="53">
        <f t="shared" si="127"/>
        <v>-5187423</v>
      </c>
      <c r="I254" s="53">
        <f t="shared" si="127"/>
        <v>-3562390</v>
      </c>
      <c r="J254" s="53">
        <f t="shared" ca="1" si="127"/>
        <v>-1892507.2725855769</v>
      </c>
      <c r="K254" s="53">
        <f t="shared" ca="1" si="127"/>
        <v>580174.66979739489</v>
      </c>
      <c r="L254" s="53">
        <f t="shared" ca="1" si="127"/>
        <v>4217690.8169451691</v>
      </c>
      <c r="M254" s="53">
        <f t="shared" ca="1" si="127"/>
        <v>9514332.8457983993</v>
      </c>
      <c r="N254" s="53">
        <f t="shared" ca="1" si="127"/>
        <v>17040095.968491413</v>
      </c>
      <c r="O254" s="53">
        <f t="shared" ca="1" si="127"/>
        <v>27653866.372105997</v>
      </c>
      <c r="P254" s="53">
        <f t="shared" ca="1" si="127"/>
        <v>42087120.227390759</v>
      </c>
      <c r="Q254" s="53">
        <f t="shared" ca="1" si="127"/>
        <v>61197393.450047202</v>
      </c>
      <c r="R254" s="53">
        <f t="shared" ca="1" si="127"/>
        <v>85766216.012568474</v>
      </c>
    </row>
    <row r="255" spans="2:18" x14ac:dyDescent="0.25">
      <c r="C255" s="1" t="s">
        <v>159</v>
      </c>
      <c r="D255" s="53">
        <f t="shared" ref="D255:R255" si="128">D26</f>
        <v>-520379</v>
      </c>
      <c r="E255" s="53">
        <f t="shared" si="128"/>
        <v>-373705</v>
      </c>
      <c r="F255" s="53">
        <f t="shared" si="128"/>
        <v>209825</v>
      </c>
      <c r="G255" s="53">
        <f t="shared" si="128"/>
        <v>462190</v>
      </c>
      <c r="H255" s="53">
        <f t="shared" si="128"/>
        <v>1625033</v>
      </c>
      <c r="I255" s="53">
        <f t="shared" ca="1" si="128"/>
        <v>1744867.7274144231</v>
      </c>
      <c r="J255" s="53">
        <f t="shared" ca="1" si="128"/>
        <v>2547666.9423829718</v>
      </c>
      <c r="K255" s="53">
        <f t="shared" ca="1" si="128"/>
        <v>3712501.1471477742</v>
      </c>
      <c r="L255" s="53">
        <f t="shared" ca="1" si="128"/>
        <v>5371627.0288532311</v>
      </c>
      <c r="M255" s="53">
        <f t="shared" ca="1" si="128"/>
        <v>7600748.1226930153</v>
      </c>
      <c r="N255" s="53">
        <f t="shared" ca="1" si="128"/>
        <v>10688755.403614584</v>
      </c>
      <c r="O255" s="53">
        <f t="shared" ca="1" si="128"/>
        <v>14508238.85528476</v>
      </c>
      <c r="P255" s="53">
        <f t="shared" ca="1" si="128"/>
        <v>19185258.222656444</v>
      </c>
      <c r="Q255" s="53">
        <f t="shared" ca="1" si="128"/>
        <v>24643807.562521279</v>
      </c>
      <c r="R255" s="53">
        <f t="shared" ca="1" si="128"/>
        <v>30668755.794426486</v>
      </c>
    </row>
    <row r="256" spans="2:18" x14ac:dyDescent="0.25">
      <c r="C256" s="5" t="s">
        <v>160</v>
      </c>
      <c r="D256" s="37">
        <v>0</v>
      </c>
      <c r="E256" s="37">
        <v>0</v>
      </c>
      <c r="F256" s="37">
        <v>0</v>
      </c>
      <c r="G256" s="37">
        <v>-64196</v>
      </c>
      <c r="H256" s="37">
        <v>-74985</v>
      </c>
      <c r="I256" s="61">
        <f>H256</f>
        <v>-74985</v>
      </c>
      <c r="J256" s="61">
        <f t="shared" ref="J256:R256" si="129">I256</f>
        <v>-74985</v>
      </c>
      <c r="K256" s="61">
        <f t="shared" si="129"/>
        <v>-74985</v>
      </c>
      <c r="L256" s="61">
        <f t="shared" si="129"/>
        <v>-74985</v>
      </c>
      <c r="M256" s="61">
        <f t="shared" si="129"/>
        <v>-74985</v>
      </c>
      <c r="N256" s="61">
        <f t="shared" si="129"/>
        <v>-74985</v>
      </c>
      <c r="O256" s="61">
        <f t="shared" si="129"/>
        <v>-74985</v>
      </c>
      <c r="P256" s="61">
        <f t="shared" si="129"/>
        <v>-74985</v>
      </c>
      <c r="Q256" s="61">
        <f t="shared" si="129"/>
        <v>-74985</v>
      </c>
      <c r="R256" s="61">
        <f t="shared" si="129"/>
        <v>-74985</v>
      </c>
    </row>
    <row r="257" spans="2:18" x14ac:dyDescent="0.25">
      <c r="C257" s="11" t="s">
        <v>113</v>
      </c>
      <c r="D257" s="39">
        <f>D71</f>
        <v>-5485733</v>
      </c>
      <c r="E257" s="39">
        <f>E71</f>
        <v>-5859438</v>
      </c>
      <c r="F257" s="39">
        <f>F71</f>
        <v>-5649613</v>
      </c>
      <c r="G257" s="39">
        <f>G71</f>
        <v>-5187423</v>
      </c>
      <c r="H257" s="39">
        <f>H71</f>
        <v>-3562390</v>
      </c>
      <c r="I257" s="39">
        <f t="shared" ref="I257:R257" ca="1" si="130">SUM(I254:I256)</f>
        <v>-1892507.2725855769</v>
      </c>
      <c r="J257" s="39">
        <f t="shared" ca="1" si="130"/>
        <v>580174.66979739489</v>
      </c>
      <c r="K257" s="39">
        <f t="shared" ca="1" si="130"/>
        <v>4217690.8169451691</v>
      </c>
      <c r="L257" s="39">
        <f t="shared" ca="1" si="130"/>
        <v>9514332.8457983993</v>
      </c>
      <c r="M257" s="39">
        <f t="shared" ca="1" si="130"/>
        <v>17040095.968491413</v>
      </c>
      <c r="N257" s="39">
        <f t="shared" ca="1" si="130"/>
        <v>27653866.372105997</v>
      </c>
      <c r="O257" s="39">
        <f t="shared" ca="1" si="130"/>
        <v>42087120.227390759</v>
      </c>
      <c r="P257" s="39">
        <f t="shared" ca="1" si="130"/>
        <v>61197393.450047202</v>
      </c>
      <c r="Q257" s="39">
        <f t="shared" ca="1" si="130"/>
        <v>85766216.012568474</v>
      </c>
      <c r="R257" s="39">
        <f t="shared" ca="1" si="130"/>
        <v>116359986.80699496</v>
      </c>
    </row>
    <row r="260" spans="2:18" x14ac:dyDescent="0.25">
      <c r="B260" s="1" t="s">
        <v>33</v>
      </c>
      <c r="C260" s="6" t="s">
        <v>109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8"/>
    </row>
    <row r="261" spans="2:18" x14ac:dyDescent="0.25">
      <c r="C261" s="11" t="s">
        <v>17</v>
      </c>
      <c r="D261" s="26">
        <v>2021</v>
      </c>
      <c r="E261" s="26">
        <v>2022</v>
      </c>
      <c r="F261" s="26">
        <v>2023</v>
      </c>
      <c r="G261" s="26">
        <v>2024</v>
      </c>
      <c r="H261" s="26">
        <v>2025</v>
      </c>
      <c r="I261" s="27">
        <v>2026</v>
      </c>
      <c r="J261" s="27">
        <v>2027</v>
      </c>
      <c r="K261" s="27">
        <v>2028</v>
      </c>
      <c r="L261" s="27">
        <v>2029</v>
      </c>
      <c r="M261" s="27">
        <v>2030</v>
      </c>
      <c r="N261" s="27">
        <v>2031</v>
      </c>
      <c r="O261" s="27">
        <v>2032</v>
      </c>
      <c r="P261" s="27">
        <v>2033</v>
      </c>
      <c r="Q261" s="27">
        <v>2034</v>
      </c>
      <c r="R261" s="27">
        <v>2035</v>
      </c>
    </row>
    <row r="262" spans="2:18" x14ac:dyDescent="0.25">
      <c r="C262" s="12" t="s">
        <v>18</v>
      </c>
      <c r="D262" s="28">
        <v>44561</v>
      </c>
      <c r="E262" s="28">
        <f>EOMONTH(D262,12)</f>
        <v>44926</v>
      </c>
      <c r="F262" s="28">
        <f>EOMONTH(E262,12)</f>
        <v>45291</v>
      </c>
      <c r="G262" s="28">
        <f t="shared" ref="G262:R262" si="131">EOMONTH(F262,12)</f>
        <v>45657</v>
      </c>
      <c r="H262" s="28">
        <f t="shared" si="131"/>
        <v>46022</v>
      </c>
      <c r="I262" s="28">
        <f t="shared" si="131"/>
        <v>46387</v>
      </c>
      <c r="J262" s="28">
        <f t="shared" si="131"/>
        <v>46752</v>
      </c>
      <c r="K262" s="28">
        <f t="shared" si="131"/>
        <v>47118</v>
      </c>
      <c r="L262" s="28">
        <f t="shared" si="131"/>
        <v>47483</v>
      </c>
      <c r="M262" s="28">
        <f t="shared" si="131"/>
        <v>47848</v>
      </c>
      <c r="N262" s="28">
        <f t="shared" si="131"/>
        <v>48213</v>
      </c>
      <c r="O262" s="28">
        <f t="shared" si="131"/>
        <v>48579</v>
      </c>
      <c r="P262" s="28">
        <f t="shared" si="131"/>
        <v>48944</v>
      </c>
      <c r="Q262" s="28">
        <f t="shared" si="131"/>
        <v>49309</v>
      </c>
      <c r="R262" s="28">
        <f t="shared" si="131"/>
        <v>49674</v>
      </c>
    </row>
    <row r="264" spans="2:18" x14ac:dyDescent="0.25">
      <c r="C264" s="1" t="s">
        <v>32</v>
      </c>
      <c r="D264" s="53">
        <f>D26</f>
        <v>-520379</v>
      </c>
      <c r="E264" s="53">
        <f t="shared" ref="E264:R264" si="132">E26</f>
        <v>-373705</v>
      </c>
      <c r="F264" s="53">
        <f t="shared" si="132"/>
        <v>209825</v>
      </c>
      <c r="G264" s="53">
        <f t="shared" si="132"/>
        <v>462190</v>
      </c>
      <c r="H264" s="53">
        <f t="shared" si="132"/>
        <v>1625033</v>
      </c>
      <c r="I264" s="53">
        <f t="shared" ca="1" si="132"/>
        <v>1744867.7274144231</v>
      </c>
      <c r="J264" s="53">
        <f t="shared" ca="1" si="132"/>
        <v>2547666.9423829718</v>
      </c>
      <c r="K264" s="53">
        <f t="shared" ca="1" si="132"/>
        <v>3712501.1471477742</v>
      </c>
      <c r="L264" s="53">
        <f t="shared" ca="1" si="132"/>
        <v>5371627.0288532311</v>
      </c>
      <c r="M264" s="53">
        <f t="shared" ca="1" si="132"/>
        <v>7600748.1226930153</v>
      </c>
      <c r="N264" s="53">
        <f t="shared" ca="1" si="132"/>
        <v>10688755.403614584</v>
      </c>
      <c r="O264" s="53">
        <f t="shared" ca="1" si="132"/>
        <v>14508238.85528476</v>
      </c>
      <c r="P264" s="53">
        <f t="shared" ca="1" si="132"/>
        <v>19185258.222656444</v>
      </c>
      <c r="Q264" s="53">
        <f t="shared" ca="1" si="132"/>
        <v>24643807.562521279</v>
      </c>
      <c r="R264" s="53">
        <f t="shared" ca="1" si="132"/>
        <v>30668755.794426486</v>
      </c>
    </row>
    <row r="265" spans="2:18" x14ac:dyDescent="0.25">
      <c r="C265" s="1" t="s">
        <v>162</v>
      </c>
      <c r="D265" s="36">
        <v>1923617</v>
      </c>
      <c r="E265" s="36">
        <v>2063793</v>
      </c>
      <c r="F265" s="36">
        <v>2147446</v>
      </c>
      <c r="G265" s="36">
        <v>2250163</v>
      </c>
      <c r="H265" s="36">
        <v>2369612</v>
      </c>
      <c r="I265" s="34">
        <f ca="1">AVERAGE($D$7,$D$7+(I272-I271)/I273)</f>
        <v>2394169.7868569461</v>
      </c>
      <c r="J265" s="34">
        <f t="shared" ref="J265:R265" ca="1" si="133">AVERAGE($D$7,$D$7+(J272-J271)/J273)</f>
        <v>2395232.3368219421</v>
      </c>
      <c r="K265" s="34">
        <f t="shared" ca="1" si="133"/>
        <v>2396678.4719786327</v>
      </c>
      <c r="L265" s="34">
        <f t="shared" ca="1" si="133"/>
        <v>2398601.9930283674</v>
      </c>
      <c r="M265" s="34">
        <f t="shared" ca="1" si="133"/>
        <v>2401090.3624569243</v>
      </c>
      <c r="N265" s="34">
        <f t="shared" ca="1" si="133"/>
        <v>2404201.4367829221</v>
      </c>
      <c r="O265" s="34">
        <f t="shared" ca="1" si="133"/>
        <v>2407942.1321001491</v>
      </c>
      <c r="P265" s="34">
        <f t="shared" ca="1" si="133"/>
        <v>2412232.2154664146</v>
      </c>
      <c r="Q265" s="34">
        <f t="shared" ca="1" si="133"/>
        <v>2416882.9323726194</v>
      </c>
      <c r="R265" s="34">
        <f t="shared" ca="1" si="133"/>
        <v>2421585.1048628483</v>
      </c>
    </row>
    <row r="266" spans="2:18" x14ac:dyDescent="0.25">
      <c r="C266" s="1" t="s">
        <v>34</v>
      </c>
      <c r="D266" s="72">
        <f>D264/D265</f>
        <v>-0.27052110685235159</v>
      </c>
      <c r="E266" s="72">
        <f t="shared" ref="D266:R266" si="134">E264/E265</f>
        <v>-0.18107678434804267</v>
      </c>
      <c r="F266" s="72">
        <f t="shared" si="134"/>
        <v>9.7709092568567496E-2</v>
      </c>
      <c r="G266" s="72">
        <f t="shared" si="134"/>
        <v>0.20540289747898263</v>
      </c>
      <c r="H266" s="72">
        <f t="shared" si="134"/>
        <v>0.68578020367891457</v>
      </c>
      <c r="I266" s="72">
        <f t="shared" ca="1" si="134"/>
        <v>0.72879865788678111</v>
      </c>
      <c r="J266" s="72">
        <f t="shared" ca="1" si="134"/>
        <v>1.0636408431940609</v>
      </c>
      <c r="K266" s="72">
        <f t="shared" ca="1" si="134"/>
        <v>1.5490192741969406</v>
      </c>
      <c r="L266" s="72">
        <f t="shared" ca="1" si="134"/>
        <v>2.2394824337118369</v>
      </c>
      <c r="M266" s="72">
        <f t="shared" ca="1" si="134"/>
        <v>3.1655402235322465</v>
      </c>
      <c r="N266" s="72">
        <f t="shared" ca="1" si="134"/>
        <v>4.4458651592510812</v>
      </c>
      <c r="O266" s="72">
        <f t="shared" ca="1" si="134"/>
        <v>6.0251609296902098</v>
      </c>
      <c r="P266" s="72">
        <f t="shared" ca="1" si="134"/>
        <v>7.9533214504172012</v>
      </c>
      <c r="Q266" s="72">
        <f t="shared" ca="1" si="134"/>
        <v>10.196525132613191</v>
      </c>
      <c r="R266" s="72">
        <f t="shared" ca="1" si="134"/>
        <v>12.664744151605392</v>
      </c>
    </row>
    <row r="267" spans="2:18" x14ac:dyDescent="0.25"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</row>
    <row r="268" spans="2:18" x14ac:dyDescent="0.25">
      <c r="C268" s="1" t="s">
        <v>163</v>
      </c>
      <c r="D268" s="36">
        <v>1923617</v>
      </c>
      <c r="E268" s="36">
        <v>2063793</v>
      </c>
      <c r="F268" s="36">
        <v>2297927</v>
      </c>
      <c r="G268" s="36">
        <v>2450818</v>
      </c>
      <c r="H268" s="36">
        <v>2565197</v>
      </c>
      <c r="I268" s="34">
        <f ca="1">I265+H268-H265</f>
        <v>2589754.7868569456</v>
      </c>
      <c r="J268" s="34">
        <f t="shared" ref="J268:R268" ca="1" si="135">J265+I268-I265</f>
        <v>2590817.3368219412</v>
      </c>
      <c r="K268" s="34">
        <f t="shared" ca="1" si="135"/>
        <v>2592263.4719786323</v>
      </c>
      <c r="L268" s="34">
        <f t="shared" ca="1" si="135"/>
        <v>2594186.9930283669</v>
      </c>
      <c r="M268" s="34">
        <f t="shared" ca="1" si="135"/>
        <v>2596675.3624569238</v>
      </c>
      <c r="N268" s="34">
        <f t="shared" ca="1" si="135"/>
        <v>2599786.4367829217</v>
      </c>
      <c r="O268" s="34">
        <f t="shared" ca="1" si="135"/>
        <v>2603527.1321001486</v>
      </c>
      <c r="P268" s="34">
        <f t="shared" ca="1" si="135"/>
        <v>2607817.2154664146</v>
      </c>
      <c r="Q268" s="34">
        <f t="shared" ca="1" si="135"/>
        <v>2612467.9323726194</v>
      </c>
      <c r="R268" s="34">
        <f t="shared" ca="1" si="135"/>
        <v>2617170.1048628483</v>
      </c>
    </row>
    <row r="269" spans="2:18" x14ac:dyDescent="0.25">
      <c r="C269" s="1" t="s">
        <v>35</v>
      </c>
      <c r="D269" s="72">
        <f t="shared" ref="D269:R269" si="136">D264/D268</f>
        <v>-0.27052110685235159</v>
      </c>
      <c r="E269" s="72">
        <f t="shared" si="136"/>
        <v>-0.18107678434804267</v>
      </c>
      <c r="F269" s="72">
        <f t="shared" si="136"/>
        <v>9.1310559473821398E-2</v>
      </c>
      <c r="G269" s="72">
        <f t="shared" si="136"/>
        <v>0.18858601495500685</v>
      </c>
      <c r="H269" s="72">
        <f t="shared" si="136"/>
        <v>0.63349247640629547</v>
      </c>
      <c r="I269" s="72">
        <f t="shared" ca="1" si="136"/>
        <v>0.6737578925501595</v>
      </c>
      <c r="J269" s="72">
        <f t="shared" ca="1" si="136"/>
        <v>0.98334487197314324</v>
      </c>
      <c r="K269" s="72">
        <f t="shared" ca="1" si="136"/>
        <v>1.4321465342078377</v>
      </c>
      <c r="L269" s="72">
        <f t="shared" ca="1" si="136"/>
        <v>2.0706398741836933</v>
      </c>
      <c r="M269" s="72">
        <f t="shared" ca="1" si="136"/>
        <v>2.9271075747802895</v>
      </c>
      <c r="N269" s="72">
        <f t="shared" ca="1" si="136"/>
        <v>4.1113974795719264</v>
      </c>
      <c r="O269" s="72">
        <f t="shared" ca="1" si="136"/>
        <v>5.5725322299912481</v>
      </c>
      <c r="P269" s="72">
        <f t="shared" ca="1" si="136"/>
        <v>7.3568262794158725</v>
      </c>
      <c r="Q269" s="72">
        <f t="shared" ca="1" si="136"/>
        <v>9.4331521765857609</v>
      </c>
      <c r="R269" s="72">
        <f t="shared" ca="1" si="136"/>
        <v>11.718289054823844</v>
      </c>
    </row>
    <row r="270" spans="2:18" x14ac:dyDescent="0.25"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</row>
    <row r="271" spans="2:18" x14ac:dyDescent="0.25">
      <c r="C271" s="1" t="s">
        <v>164</v>
      </c>
      <c r="D271" s="34"/>
      <c r="E271" s="34"/>
      <c r="F271" s="34"/>
      <c r="G271" s="34"/>
      <c r="H271" s="34"/>
      <c r="I271" s="53">
        <f>-I256</f>
        <v>74985</v>
      </c>
      <c r="J271" s="53">
        <f t="shared" ref="J271:R271" si="137">-J256</f>
        <v>74985</v>
      </c>
      <c r="K271" s="53">
        <f t="shared" si="137"/>
        <v>74985</v>
      </c>
      <c r="L271" s="53">
        <f t="shared" si="137"/>
        <v>74985</v>
      </c>
      <c r="M271" s="53">
        <f t="shared" si="137"/>
        <v>74985</v>
      </c>
      <c r="N271" s="53">
        <f t="shared" si="137"/>
        <v>74985</v>
      </c>
      <c r="O271" s="53">
        <f t="shared" si="137"/>
        <v>74985</v>
      </c>
      <c r="P271" s="53">
        <f t="shared" si="137"/>
        <v>74985</v>
      </c>
      <c r="Q271" s="53">
        <f t="shared" si="137"/>
        <v>74985</v>
      </c>
      <c r="R271" s="53">
        <f t="shared" si="137"/>
        <v>74985</v>
      </c>
    </row>
    <row r="272" spans="2:18" x14ac:dyDescent="0.25">
      <c r="C272" s="1" t="s">
        <v>165</v>
      </c>
      <c r="D272" s="34"/>
      <c r="E272" s="34"/>
      <c r="F272" s="34"/>
      <c r="G272" s="34"/>
      <c r="H272" s="34"/>
      <c r="I272" s="53">
        <f ca="1">I33</f>
        <v>961628.96714429557</v>
      </c>
      <c r="J272" s="53">
        <f t="shared" ref="J272:R272" ca="1" si="138">J33</f>
        <v>1349751.4796138462</v>
      </c>
      <c r="K272" s="53">
        <f t="shared" ca="1" si="138"/>
        <v>1882655.7149292128</v>
      </c>
      <c r="L272" s="53">
        <f t="shared" ca="1" si="138"/>
        <v>2597733.7629073132</v>
      </c>
      <c r="M272" s="53">
        <f t="shared" ca="1" si="138"/>
        <v>3530711.728048726</v>
      </c>
      <c r="N272" s="53">
        <f t="shared" ca="1" si="138"/>
        <v>4707886.9095077347</v>
      </c>
      <c r="O272" s="53">
        <f t="shared" ca="1" si="138"/>
        <v>6135619.4020547112</v>
      </c>
      <c r="P272" s="53">
        <f t="shared" ca="1" si="138"/>
        <v>7788409.3282622444</v>
      </c>
      <c r="Q272" s="53">
        <f t="shared" ca="1" si="138"/>
        <v>9598257.7062745187</v>
      </c>
      <c r="R272" s="53">
        <f t="shared" ca="1" si="138"/>
        <v>11449178.934578082</v>
      </c>
    </row>
    <row r="273" spans="3:18" x14ac:dyDescent="0.25">
      <c r="C273" s="1" t="s">
        <v>166</v>
      </c>
      <c r="D273" s="34"/>
      <c r="E273" s="34"/>
      <c r="F273" s="34"/>
      <c r="G273" s="34"/>
      <c r="H273" s="34"/>
      <c r="I273" s="73">
        <v>177.75</v>
      </c>
      <c r="J273" s="71">
        <f ca="1">I273+(1+J274)</f>
        <v>179.21009173208685</v>
      </c>
      <c r="K273" s="71">
        <f t="shared" ref="K273:R273" ca="1" si="139">J273+(1+K274)</f>
        <v>180.66730777763291</v>
      </c>
      <c r="L273" s="71">
        <f t="shared" ca="1" si="139"/>
        <v>182.11421023394061</v>
      </c>
      <c r="M273" s="71">
        <f t="shared" ca="1" si="139"/>
        <v>183.52919085003072</v>
      </c>
      <c r="N273" s="71">
        <f t="shared" ca="1" si="139"/>
        <v>184.93546760477568</v>
      </c>
      <c r="O273" s="71">
        <f t="shared" ca="1" si="139"/>
        <v>186.29280419892945</v>
      </c>
      <c r="P273" s="71">
        <f t="shared" ca="1" si="139"/>
        <v>187.61517408917067</v>
      </c>
      <c r="Q273" s="71">
        <f t="shared" ca="1" si="139"/>
        <v>188.8996919870543</v>
      </c>
      <c r="R273" s="71">
        <f t="shared" ca="1" si="139"/>
        <v>190.14417321085139</v>
      </c>
    </row>
    <row r="274" spans="3:18" x14ac:dyDescent="0.25">
      <c r="C274" s="1" t="s">
        <v>174</v>
      </c>
      <c r="D274" s="34"/>
      <c r="E274" s="34"/>
      <c r="F274" s="34"/>
      <c r="G274" s="34"/>
      <c r="H274" s="34"/>
      <c r="I274" s="42"/>
      <c r="J274" s="42">
        <f t="shared" ref="J274:R274" ca="1" si="140">J26/I26-1</f>
        <v>0.4600917320868505</v>
      </c>
      <c r="K274" s="42">
        <f t="shared" ca="1" si="140"/>
        <v>0.45721604554607498</v>
      </c>
      <c r="L274" s="42">
        <f t="shared" ca="1" si="140"/>
        <v>0.44690245630768999</v>
      </c>
      <c r="M274" s="42">
        <f t="shared" ca="1" si="140"/>
        <v>0.41498061609010684</v>
      </c>
      <c r="N274" s="42">
        <f t="shared" ca="1" si="140"/>
        <v>0.40627675474496039</v>
      </c>
      <c r="O274" s="42">
        <f t="shared" ca="1" si="140"/>
        <v>0.35733659415375452</v>
      </c>
      <c r="P274" s="42">
        <f t="shared" ca="1" si="140"/>
        <v>0.32236989024122908</v>
      </c>
      <c r="Q274" s="42">
        <f t="shared" ca="1" si="140"/>
        <v>0.2845178978836298</v>
      </c>
      <c r="R274" s="42">
        <f t="shared" ca="1" si="140"/>
        <v>0.24448122379709103</v>
      </c>
    </row>
  </sheetData>
  <dataValidations count="3">
    <dataValidation type="list" allowBlank="1" showInputMessage="1" showErrorMessage="1" sqref="D5" xr:uid="{EB9E46AF-5A82-4970-BD1E-9FFBC01A9303}">
      <formula1>"0, 1"</formula1>
    </dataValidation>
    <dataValidation type="list" allowBlank="1" showInputMessage="1" showErrorMessage="1" sqref="D120 D130 D140 D150 D160 D170" xr:uid="{339B700D-9EB6-436D-B277-78E91A2286F7}">
      <formula1>"1,2"</formula1>
    </dataValidation>
    <dataValidation type="list" allowBlank="1" showInputMessage="1" showErrorMessage="1" sqref="D196" xr:uid="{8556977A-BC6A-4E0C-863D-1679D058A635}">
      <formula1>"0.5,1"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3125-1705-4F07-A418-D2E4EC481B14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BA2A-8577-419E-8863-4544DCB1B4B0}">
  <dimension ref="C2:R39"/>
  <sheetViews>
    <sheetView showGridLines="0" zoomScale="105" workbookViewId="0">
      <selection activeCell="G21" sqref="G21"/>
    </sheetView>
  </sheetViews>
  <sheetFormatPr defaultRowHeight="15" x14ac:dyDescent="0.25"/>
  <cols>
    <col min="1" max="2" width="2.140625" style="1" customWidth="1"/>
    <col min="3" max="3" width="37.28515625" style="1" customWidth="1"/>
    <col min="4" max="7" width="13.140625" style="1" customWidth="1"/>
    <col min="8" max="14" width="20" style="1" customWidth="1"/>
    <col min="15" max="15" width="2.140625" style="1" customWidth="1"/>
    <col min="16" max="18" width="12.28515625" style="1" customWidth="1"/>
    <col min="19" max="16384" width="9.140625" style="1"/>
  </cols>
  <sheetData>
    <row r="2" spans="3:18" ht="17.25" x14ac:dyDescent="0.3">
      <c r="C2" s="20" t="s">
        <v>181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/>
      <c r="P2"/>
      <c r="Q2"/>
      <c r="R2"/>
    </row>
    <row r="3" spans="3:18" x14ac:dyDescent="0.25">
      <c r="C3" s="25" t="s">
        <v>15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/>
      <c r="P3"/>
      <c r="Q3"/>
      <c r="R3"/>
    </row>
    <row r="4" spans="3:18" x14ac:dyDescent="0.25">
      <c r="O4"/>
      <c r="P4"/>
      <c r="Q4"/>
      <c r="R4"/>
    </row>
    <row r="5" spans="3:18" x14ac:dyDescent="0.25">
      <c r="C5" s="6" t="s">
        <v>187</v>
      </c>
      <c r="D5" s="7"/>
      <c r="E5" s="7"/>
      <c r="F5" s="8"/>
      <c r="G5"/>
      <c r="H5" s="77" t="s">
        <v>182</v>
      </c>
      <c r="I5" s="78"/>
      <c r="J5" s="78"/>
      <c r="K5" s="78"/>
      <c r="L5" s="78"/>
      <c r="M5" s="78"/>
      <c r="N5" s="79"/>
      <c r="O5"/>
      <c r="P5"/>
      <c r="Q5"/>
      <c r="R5"/>
    </row>
    <row r="6" spans="3:18" x14ac:dyDescent="0.25">
      <c r="J6" s="9" t="s">
        <v>203</v>
      </c>
    </row>
    <row r="7" spans="3:18" x14ac:dyDescent="0.25">
      <c r="C7" s="1" t="s">
        <v>185</v>
      </c>
      <c r="F7" s="42">
        <f>SUM(FSM!D45:H45)/5</f>
        <v>9.4326687258578009E-3</v>
      </c>
      <c r="H7" s="14" t="s">
        <v>198</v>
      </c>
      <c r="I7" s="14" t="s">
        <v>3</v>
      </c>
      <c r="J7" s="14" t="s">
        <v>202</v>
      </c>
      <c r="K7" s="14" t="s">
        <v>188</v>
      </c>
      <c r="L7" s="14" t="s">
        <v>199</v>
      </c>
      <c r="M7" s="14" t="s">
        <v>200</v>
      </c>
      <c r="N7" s="14" t="s">
        <v>201</v>
      </c>
    </row>
    <row r="8" spans="3:18" x14ac:dyDescent="0.25">
      <c r="C8" s="1" t="s">
        <v>184</v>
      </c>
      <c r="F8" s="67">
        <v>4.7309999999999998E-2</v>
      </c>
      <c r="H8" s="11" t="s">
        <v>206</v>
      </c>
      <c r="I8" s="1" t="s">
        <v>207</v>
      </c>
      <c r="J8" s="67">
        <v>0.13167999999999999</v>
      </c>
      <c r="K8" s="68">
        <v>1.36</v>
      </c>
      <c r="L8" s="53">
        <f>SUM(Inputs!D79:D82)</f>
        <v>1279005</v>
      </c>
      <c r="M8" s="54">
        <f>Inputs!D77</f>
        <v>47373804.523539998</v>
      </c>
      <c r="N8" s="72">
        <f t="shared" ref="N8:N13" si="0">K8/(1+(1-J8)*(L8/M8))</f>
        <v>1.3288477788241833</v>
      </c>
    </row>
    <row r="9" spans="3:18" x14ac:dyDescent="0.25">
      <c r="C9" s="1" t="s">
        <v>186</v>
      </c>
      <c r="F9" s="67">
        <v>4.4600000000000001E-2</v>
      </c>
      <c r="H9" s="11" t="s">
        <v>208</v>
      </c>
      <c r="I9" s="1" t="s">
        <v>209</v>
      </c>
      <c r="J9" s="67">
        <v>0.25646666670000001</v>
      </c>
      <c r="K9" s="68">
        <v>1.21</v>
      </c>
      <c r="L9" s="53">
        <f>SUM(Inputs!F79:F82)</f>
        <v>407866</v>
      </c>
      <c r="M9" s="54">
        <f>Inputs!F77</f>
        <v>69648793.580279306</v>
      </c>
      <c r="N9" s="72">
        <f t="shared" si="0"/>
        <v>1.2047543074092599</v>
      </c>
    </row>
    <row r="10" spans="3:18" x14ac:dyDescent="0.25">
      <c r="H10" s="11" t="s">
        <v>210</v>
      </c>
      <c r="I10" s="1" t="s">
        <v>211</v>
      </c>
      <c r="J10" s="67">
        <v>0.20154</v>
      </c>
      <c r="K10" s="68">
        <v>1.45</v>
      </c>
      <c r="L10" s="53">
        <f>SUM(Inputs!H79:H82)</f>
        <v>262305</v>
      </c>
      <c r="M10" s="54">
        <f>Inputs!H77</f>
        <v>13966518.019679999</v>
      </c>
      <c r="N10" s="72">
        <f t="shared" si="0"/>
        <v>1.4285772452601908</v>
      </c>
    </row>
    <row r="11" spans="3:18" x14ac:dyDescent="0.25">
      <c r="C11" s="6" t="s">
        <v>183</v>
      </c>
      <c r="D11" s="7"/>
      <c r="E11" s="7"/>
      <c r="F11" s="8"/>
      <c r="H11" s="11" t="s">
        <v>212</v>
      </c>
      <c r="I11" s="1" t="s">
        <v>213</v>
      </c>
      <c r="J11" s="67">
        <v>0.22202</v>
      </c>
      <c r="K11" s="68">
        <v>1.31</v>
      </c>
      <c r="L11" s="53">
        <f>SUM(Inputs!J79:J82)</f>
        <v>17176000</v>
      </c>
      <c r="M11" s="54">
        <f>Inputs!J77</f>
        <v>188319600</v>
      </c>
      <c r="N11" s="72">
        <f t="shared" si="0"/>
        <v>1.2232050968511008</v>
      </c>
    </row>
    <row r="12" spans="3:18" x14ac:dyDescent="0.25">
      <c r="H12" s="11" t="s">
        <v>214</v>
      </c>
      <c r="I12" s="1" t="s">
        <v>215</v>
      </c>
      <c r="J12" s="67">
        <v>0.17480000000000001</v>
      </c>
      <c r="K12" s="68">
        <v>1.65</v>
      </c>
      <c r="L12" s="53">
        <f>SUM(Inputs!L79:L82)</f>
        <v>161425000</v>
      </c>
      <c r="M12" s="54">
        <f>Inputs!L77</f>
        <v>481220461.36000001</v>
      </c>
      <c r="N12" s="72">
        <f t="shared" si="0"/>
        <v>1.2922804321136709</v>
      </c>
    </row>
    <row r="13" spans="3:18" x14ac:dyDescent="0.25">
      <c r="C13" s="1" t="s">
        <v>186</v>
      </c>
      <c r="F13" s="59">
        <f>F9</f>
        <v>4.4600000000000001E-2</v>
      </c>
      <c r="H13" s="11" t="s">
        <v>216</v>
      </c>
      <c r="I13" s="1" t="s">
        <v>217</v>
      </c>
      <c r="J13" s="67">
        <v>0.21998000000000001</v>
      </c>
      <c r="K13" s="68">
        <v>0.82</v>
      </c>
      <c r="L13" s="53">
        <f>SUM(Inputs!N79:N82)</f>
        <v>372000</v>
      </c>
      <c r="M13" s="54">
        <f>Inputs!N77</f>
        <v>140892940</v>
      </c>
      <c r="N13" s="72">
        <f t="shared" si="0"/>
        <v>0.8183146900141639</v>
      </c>
    </row>
    <row r="14" spans="3:18" x14ac:dyDescent="0.25">
      <c r="C14" s="1" t="s">
        <v>188</v>
      </c>
      <c r="F14" s="197">
        <f>N18</f>
        <v>1.2170015197487145</v>
      </c>
      <c r="H14" s="3" t="s">
        <v>12</v>
      </c>
      <c r="I14" s="4"/>
      <c r="J14" s="4"/>
      <c r="K14" s="4"/>
      <c r="L14" s="4"/>
      <c r="M14" s="4"/>
      <c r="N14" s="81">
        <f>AVERAGE(N8:N13)</f>
        <v>1.2159965917454283</v>
      </c>
    </row>
    <row r="15" spans="3:18" x14ac:dyDescent="0.25">
      <c r="C15" s="1" t="s">
        <v>190</v>
      </c>
      <c r="F15" s="42">
        <f>F13*F14</f>
        <v>5.4278267780792665E-2</v>
      </c>
      <c r="H15" s="1" t="s">
        <v>257</v>
      </c>
      <c r="N15" s="59">
        <f>F7</f>
        <v>9.4326687258578009E-3</v>
      </c>
    </row>
    <row r="16" spans="3:18" x14ac:dyDescent="0.25">
      <c r="C16" s="1" t="s">
        <v>189</v>
      </c>
      <c r="F16" s="59">
        <f>F8</f>
        <v>4.7309999999999998E-2</v>
      </c>
      <c r="H16" s="1" t="s">
        <v>199</v>
      </c>
      <c r="N16" s="53">
        <f>SUM(DCF!N55:N56)</f>
        <v>330081</v>
      </c>
    </row>
    <row r="17" spans="3:17" x14ac:dyDescent="0.25">
      <c r="C17" s="11" t="s">
        <v>191</v>
      </c>
      <c r="F17" s="205">
        <f>F15+F16</f>
        <v>0.10158826778079266</v>
      </c>
      <c r="H17" s="1" t="s">
        <v>200</v>
      </c>
      <c r="N17" s="53">
        <f>DCF!S60*DCF!D8</f>
        <v>395641588.1785</v>
      </c>
    </row>
    <row r="18" spans="3:17" x14ac:dyDescent="0.25">
      <c r="C18" s="1" t="s">
        <v>192</v>
      </c>
      <c r="F18" s="67">
        <v>1</v>
      </c>
      <c r="H18" s="80" t="s">
        <v>204</v>
      </c>
      <c r="I18" s="4"/>
      <c r="J18" s="4"/>
      <c r="K18" s="4"/>
      <c r="L18" s="4"/>
      <c r="M18" s="4"/>
      <c r="N18" s="98">
        <f>N14*(1+(1-F7)*(N16/N17))</f>
        <v>1.2170015197487145</v>
      </c>
    </row>
    <row r="19" spans="3:17" x14ac:dyDescent="0.25">
      <c r="C19" s="1" t="s">
        <v>218</v>
      </c>
      <c r="F19" s="42">
        <f>F17*F18</f>
        <v>0.10158826778079266</v>
      </c>
    </row>
    <row r="20" spans="3:17" x14ac:dyDescent="0.25">
      <c r="H20" s="102" t="s">
        <v>205</v>
      </c>
      <c r="I20" s="103"/>
      <c r="J20" s="103"/>
      <c r="K20" s="103"/>
      <c r="L20" s="103"/>
      <c r="M20" s="103"/>
      <c r="N20" s="104"/>
    </row>
    <row r="21" spans="3:17" x14ac:dyDescent="0.25">
      <c r="C21" s="1" t="s">
        <v>193</v>
      </c>
      <c r="F21" s="67">
        <v>0</v>
      </c>
      <c r="H21" s="87"/>
      <c r="I21" s="88"/>
      <c r="J21" s="88"/>
      <c r="K21" s="88"/>
      <c r="L21" s="88"/>
      <c r="M21" s="88"/>
      <c r="N21" s="89"/>
    </row>
    <row r="22" spans="3:17" x14ac:dyDescent="0.25">
      <c r="C22" s="1" t="s">
        <v>194</v>
      </c>
      <c r="F22" s="59">
        <f>F7</f>
        <v>9.4326687258578009E-3</v>
      </c>
      <c r="H22" s="90" t="s">
        <v>219</v>
      </c>
      <c r="I22" s="9"/>
      <c r="J22" s="9"/>
      <c r="K22" s="84"/>
      <c r="L22" s="9"/>
      <c r="M22" s="9"/>
      <c r="N22" s="91"/>
    </row>
    <row r="23" spans="3:17" x14ac:dyDescent="0.25">
      <c r="C23" s="11" t="s">
        <v>195</v>
      </c>
      <c r="F23" s="205">
        <f>F21*F22</f>
        <v>0</v>
      </c>
      <c r="H23" s="92">
        <f>F27</f>
        <v>0.10158826778079266</v>
      </c>
      <c r="I23" s="99">
        <v>0.01</v>
      </c>
      <c r="J23" s="85">
        <f>I23+$P$25</f>
        <v>0.02</v>
      </c>
      <c r="K23" s="85">
        <f>J23+$P$25</f>
        <v>0.03</v>
      </c>
      <c r="L23" s="85">
        <f>K23+$P$25</f>
        <v>0.04</v>
      </c>
      <c r="M23" s="85">
        <f>L23+$P$25</f>
        <v>0.05</v>
      </c>
      <c r="N23" s="93">
        <f>M23+$P$25</f>
        <v>6.0000000000000005E-2</v>
      </c>
    </row>
    <row r="24" spans="3:17" x14ac:dyDescent="0.25">
      <c r="C24" s="1" t="s">
        <v>196</v>
      </c>
      <c r="F24" s="67">
        <v>0</v>
      </c>
      <c r="H24" s="100">
        <v>0.05</v>
      </c>
      <c r="I24" s="42">
        <f t="dataTable" ref="I24:N29" dt2D="1" dtr="1" r1="F21" r2="F24" ca="1"/>
        <v>0.10159298411515559</v>
      </c>
      <c r="J24" s="42">
        <v>0.10159770044951852</v>
      </c>
      <c r="K24" s="42">
        <v>0.10160241678388145</v>
      </c>
      <c r="L24" s="42">
        <v>0.10160713311824437</v>
      </c>
      <c r="M24" s="42">
        <v>0.1016118494526073</v>
      </c>
      <c r="N24" s="83">
        <v>0.10161656578697023</v>
      </c>
    </row>
    <row r="25" spans="3:17" x14ac:dyDescent="0.25">
      <c r="C25" s="1" t="s">
        <v>197</v>
      </c>
      <c r="F25" s="42">
        <f>F23*F24</f>
        <v>0</v>
      </c>
      <c r="H25" s="94">
        <f>H24+$P$26</f>
        <v>0.1</v>
      </c>
      <c r="I25" s="42">
        <v>0.10159770044951852</v>
      </c>
      <c r="J25" s="42">
        <v>0.10160713311824437</v>
      </c>
      <c r="K25" s="42">
        <v>0.10161656578697023</v>
      </c>
      <c r="L25" s="42">
        <v>0.10162599845569609</v>
      </c>
      <c r="M25" s="42">
        <v>0.10163543112442196</v>
      </c>
      <c r="N25" s="83">
        <v>0.10164486379314781</v>
      </c>
      <c r="P25" s="114">
        <v>0.01</v>
      </c>
      <c r="Q25" s="1" t="s">
        <v>220</v>
      </c>
    </row>
    <row r="26" spans="3:17" x14ac:dyDescent="0.25">
      <c r="H26" s="94">
        <f>H25+$P$26</f>
        <v>0.15000000000000002</v>
      </c>
      <c r="I26" s="42">
        <v>0.10160241678388145</v>
      </c>
      <c r="J26" s="42">
        <v>0.10161656578697023</v>
      </c>
      <c r="K26" s="42">
        <v>0.10163071479005903</v>
      </c>
      <c r="L26" s="42">
        <v>0.10164486379314781</v>
      </c>
      <c r="M26" s="42">
        <v>0.1016590127962366</v>
      </c>
      <c r="N26" s="83">
        <v>0.10167316179932538</v>
      </c>
      <c r="P26" s="114">
        <v>0.05</v>
      </c>
      <c r="Q26" s="1" t="s">
        <v>222</v>
      </c>
    </row>
    <row r="27" spans="3:17" x14ac:dyDescent="0.25">
      <c r="C27" s="80" t="s">
        <v>183</v>
      </c>
      <c r="D27" s="4"/>
      <c r="E27" s="4"/>
      <c r="F27" s="86">
        <f>F19+F25</f>
        <v>0.10158826778079266</v>
      </c>
      <c r="H27" s="94">
        <f>H26+$P$26</f>
        <v>0.2</v>
      </c>
      <c r="I27" s="42">
        <v>0.10160713311824437</v>
      </c>
      <c r="J27" s="42">
        <v>0.10162599845569609</v>
      </c>
      <c r="K27" s="42">
        <v>0.10164486379314781</v>
      </c>
      <c r="L27" s="42">
        <v>0.10166372913059953</v>
      </c>
      <c r="M27" s="42">
        <v>0.10168259446805124</v>
      </c>
      <c r="N27" s="83">
        <v>0.10170145980550295</v>
      </c>
      <c r="P27" s="114">
        <v>0.02</v>
      </c>
      <c r="Q27" s="1" t="s">
        <v>221</v>
      </c>
    </row>
    <row r="28" spans="3:17" x14ac:dyDescent="0.25">
      <c r="H28" s="94">
        <f>H27+$P$26</f>
        <v>0.25</v>
      </c>
      <c r="I28" s="42">
        <v>0.1016118494526073</v>
      </c>
      <c r="J28" s="42">
        <v>0.10163543112442196</v>
      </c>
      <c r="K28" s="42">
        <v>0.1016590127962366</v>
      </c>
      <c r="L28" s="42">
        <v>0.10168259446805124</v>
      </c>
      <c r="M28" s="42">
        <v>0.10170617613986589</v>
      </c>
      <c r="N28" s="83">
        <v>0.10172975781168053</v>
      </c>
    </row>
    <row r="29" spans="3:17" x14ac:dyDescent="0.25">
      <c r="H29" s="94">
        <f>H28+$P$26</f>
        <v>0.3</v>
      </c>
      <c r="I29" s="42">
        <v>0.10161656578697023</v>
      </c>
      <c r="J29" s="42">
        <v>0.10164486379314781</v>
      </c>
      <c r="K29" s="42">
        <v>0.10167316179932538</v>
      </c>
      <c r="L29" s="42">
        <v>0.10170145980550295</v>
      </c>
      <c r="M29" s="42">
        <v>0.10172975781168053</v>
      </c>
      <c r="N29" s="83">
        <v>0.1017580558178581</v>
      </c>
    </row>
    <row r="30" spans="3:17" x14ac:dyDescent="0.25">
      <c r="H30" s="95"/>
      <c r="N30" s="82"/>
    </row>
    <row r="31" spans="3:17" x14ac:dyDescent="0.25">
      <c r="H31" s="90" t="s">
        <v>191</v>
      </c>
      <c r="I31" s="84"/>
      <c r="J31" s="84"/>
      <c r="K31" s="84"/>
      <c r="L31" s="84"/>
      <c r="M31" s="84"/>
      <c r="N31" s="96"/>
    </row>
    <row r="32" spans="3:17" x14ac:dyDescent="0.25">
      <c r="H32" s="92">
        <f>F27</f>
        <v>0.10158826778079266</v>
      </c>
      <c r="I32" s="99">
        <v>0.06</v>
      </c>
      <c r="J32" s="85">
        <f>I32+$P$27</f>
        <v>0.08</v>
      </c>
      <c r="K32" s="85">
        <f>J32+$P$27</f>
        <v>0.1</v>
      </c>
      <c r="L32" s="85">
        <f>K32+$P$27</f>
        <v>0.12000000000000001</v>
      </c>
      <c r="M32" s="85">
        <f>L32+$P$27</f>
        <v>0.14000000000000001</v>
      </c>
      <c r="N32" s="93">
        <f>M32+$P$27</f>
        <v>0.16</v>
      </c>
    </row>
    <row r="33" spans="8:14" x14ac:dyDescent="0.25">
      <c r="H33" s="101">
        <v>0.6</v>
      </c>
      <c r="I33" s="42">
        <f t="dataTable" ref="I33:N38" dt2D="1" dtr="1" r1="F17" r2="F18"/>
        <v>3.5999999999999997E-2</v>
      </c>
      <c r="J33" s="42">
        <v>4.8000000000000001E-2</v>
      </c>
      <c r="K33" s="42">
        <v>0.06</v>
      </c>
      <c r="L33" s="42">
        <v>7.2000000000000008E-2</v>
      </c>
      <c r="M33" s="42">
        <v>8.4000000000000005E-2</v>
      </c>
      <c r="N33" s="83">
        <v>9.6000000000000002E-2</v>
      </c>
    </row>
    <row r="34" spans="8:14" x14ac:dyDescent="0.25">
      <c r="H34" s="97">
        <f>H33+$P$26</f>
        <v>0.65</v>
      </c>
      <c r="I34" s="42">
        <v>3.9E-2</v>
      </c>
      <c r="J34" s="42">
        <v>5.2000000000000005E-2</v>
      </c>
      <c r="K34" s="42">
        <v>6.5000000000000002E-2</v>
      </c>
      <c r="L34" s="42">
        <v>7.8000000000000014E-2</v>
      </c>
      <c r="M34" s="42">
        <v>9.1000000000000011E-2</v>
      </c>
      <c r="N34" s="83">
        <v>0.10400000000000001</v>
      </c>
    </row>
    <row r="35" spans="8:14" x14ac:dyDescent="0.25">
      <c r="H35" s="97">
        <f>H34+$P$26</f>
        <v>0.70000000000000007</v>
      </c>
      <c r="I35" s="42">
        <v>4.2000000000000003E-2</v>
      </c>
      <c r="J35" s="42">
        <v>5.6000000000000008E-2</v>
      </c>
      <c r="K35" s="42">
        <v>7.0000000000000007E-2</v>
      </c>
      <c r="L35" s="42">
        <v>8.4000000000000019E-2</v>
      </c>
      <c r="M35" s="42">
        <v>9.8000000000000018E-2</v>
      </c>
      <c r="N35" s="83">
        <v>0.11200000000000002</v>
      </c>
    </row>
    <row r="36" spans="8:14" x14ac:dyDescent="0.25">
      <c r="H36" s="97">
        <f>H35+$P$26</f>
        <v>0.75000000000000011</v>
      </c>
      <c r="I36" s="42">
        <v>4.5000000000000005E-2</v>
      </c>
      <c r="J36" s="42">
        <v>6.0000000000000012E-2</v>
      </c>
      <c r="K36" s="42">
        <v>7.5000000000000011E-2</v>
      </c>
      <c r="L36" s="42">
        <v>9.0000000000000024E-2</v>
      </c>
      <c r="M36" s="42">
        <v>0.10500000000000002</v>
      </c>
      <c r="N36" s="83">
        <v>0.12000000000000002</v>
      </c>
    </row>
    <row r="37" spans="8:14" x14ac:dyDescent="0.25">
      <c r="H37" s="97">
        <f>H36+$P$26</f>
        <v>0.80000000000000016</v>
      </c>
      <c r="I37" s="42">
        <v>4.8000000000000008E-2</v>
      </c>
      <c r="J37" s="42">
        <v>6.4000000000000015E-2</v>
      </c>
      <c r="K37" s="42">
        <v>8.0000000000000016E-2</v>
      </c>
      <c r="L37" s="42">
        <v>9.600000000000003E-2</v>
      </c>
      <c r="M37" s="42">
        <v>0.11200000000000003</v>
      </c>
      <c r="N37" s="83">
        <v>0.12800000000000003</v>
      </c>
    </row>
    <row r="38" spans="8:14" x14ac:dyDescent="0.25">
      <c r="H38" s="97">
        <f>H37+$P$26</f>
        <v>0.8500000000000002</v>
      </c>
      <c r="I38" s="42">
        <v>5.1000000000000011E-2</v>
      </c>
      <c r="J38" s="42">
        <v>6.8000000000000019E-2</v>
      </c>
      <c r="K38" s="42">
        <v>8.500000000000002E-2</v>
      </c>
      <c r="L38" s="42">
        <v>0.10200000000000004</v>
      </c>
      <c r="M38" s="42">
        <v>0.11900000000000004</v>
      </c>
      <c r="N38" s="83">
        <v>0.13600000000000004</v>
      </c>
    </row>
    <row r="39" spans="8:14" x14ac:dyDescent="0.25">
      <c r="H39" s="18"/>
      <c r="I39" s="5"/>
      <c r="J39" s="5"/>
      <c r="K39" s="5"/>
      <c r="L39" s="5"/>
      <c r="M39" s="5"/>
      <c r="N39" s="19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B247-F012-44B8-9368-FFAFF2EFC628}">
  <dimension ref="B2:S93"/>
  <sheetViews>
    <sheetView showGridLines="0" topLeftCell="A51" zoomScale="96" workbookViewId="0">
      <selection activeCell="K95" sqref="K95"/>
    </sheetView>
  </sheetViews>
  <sheetFormatPr defaultRowHeight="15" x14ac:dyDescent="0.25"/>
  <cols>
    <col min="1" max="2" width="2.140625" style="1" customWidth="1"/>
    <col min="3" max="3" width="40.85546875" style="1" customWidth="1"/>
    <col min="4" max="4" width="13.42578125" style="1" customWidth="1"/>
    <col min="5" max="19" width="14" style="1" customWidth="1"/>
    <col min="20" max="16384" width="9.140625" style="1"/>
  </cols>
  <sheetData>
    <row r="2" spans="2:19" ht="17.25" x14ac:dyDescent="0.3">
      <c r="C2" s="20" t="s">
        <v>227</v>
      </c>
      <c r="D2" s="3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2"/>
    </row>
    <row r="3" spans="2:19" x14ac:dyDescent="0.25">
      <c r="C3" s="25" t="s">
        <v>15</v>
      </c>
      <c r="D3" s="3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4"/>
    </row>
    <row r="4" spans="2:19" x14ac:dyDescent="0.25">
      <c r="C4" s="29"/>
      <c r="D4" s="29"/>
    </row>
    <row r="5" spans="2:19" x14ac:dyDescent="0.25">
      <c r="C5" s="29" t="s">
        <v>245</v>
      </c>
      <c r="D5" s="139">
        <v>46022</v>
      </c>
      <c r="I5" s="29" t="s">
        <v>250</v>
      </c>
      <c r="K5" s="138">
        <f>WACC!F27</f>
        <v>0.10158826778079266</v>
      </c>
    </row>
    <row r="6" spans="2:19" x14ac:dyDescent="0.25">
      <c r="C6" s="29" t="s">
        <v>251</v>
      </c>
      <c r="D6" s="139">
        <v>46387</v>
      </c>
      <c r="I6" s="29" t="s">
        <v>295</v>
      </c>
      <c r="K6" s="10">
        <v>1</v>
      </c>
    </row>
    <row r="7" spans="2:19" x14ac:dyDescent="0.25">
      <c r="C7" s="29" t="s">
        <v>246</v>
      </c>
      <c r="D7" s="139">
        <v>46093</v>
      </c>
      <c r="J7" s="29"/>
      <c r="L7"/>
    </row>
    <row r="8" spans="2:19" x14ac:dyDescent="0.25">
      <c r="C8" s="29" t="s">
        <v>247</v>
      </c>
      <c r="D8" s="189">
        <f>Dashboard!D10</f>
        <v>153.5</v>
      </c>
    </row>
    <row r="9" spans="2:19" x14ac:dyDescent="0.25">
      <c r="C9" s="29" t="s">
        <v>248</v>
      </c>
      <c r="D9" s="139">
        <v>46093</v>
      </c>
      <c r="I9" s="11" t="s">
        <v>98</v>
      </c>
      <c r="K9" s="198" t="str">
        <f>Dashboard!I8</f>
        <v>Base</v>
      </c>
    </row>
    <row r="10" spans="2:19" x14ac:dyDescent="0.25">
      <c r="C10" s="29" t="s">
        <v>249</v>
      </c>
      <c r="D10" s="140">
        <f>YEARFRAC(D7,D6)</f>
        <v>0.80277777777777781</v>
      </c>
    </row>
    <row r="12" spans="2:19" x14ac:dyDescent="0.25">
      <c r="B12" s="1" t="s">
        <v>33</v>
      </c>
      <c r="C12" s="110" t="s">
        <v>17</v>
      </c>
      <c r="D12" s="110"/>
      <c r="E12" s="111"/>
      <c r="F12" s="111"/>
      <c r="G12" s="111"/>
      <c r="H12" s="111"/>
      <c r="I12" s="131"/>
      <c r="J12" s="112">
        <v>2026</v>
      </c>
      <c r="K12" s="112">
        <v>2027</v>
      </c>
      <c r="L12" s="112">
        <v>2028</v>
      </c>
      <c r="M12" s="112">
        <v>2029</v>
      </c>
      <c r="N12" s="112">
        <v>2030</v>
      </c>
      <c r="O12" s="112">
        <v>2031</v>
      </c>
      <c r="P12" s="112">
        <v>2032</v>
      </c>
      <c r="Q12" s="112">
        <v>2033</v>
      </c>
      <c r="R12" s="112">
        <v>2034</v>
      </c>
      <c r="S12" s="112">
        <v>2035</v>
      </c>
    </row>
    <row r="13" spans="2:19" x14ac:dyDescent="0.25">
      <c r="C13" s="12" t="s">
        <v>18</v>
      </c>
      <c r="D13" s="12"/>
      <c r="E13" s="28"/>
      <c r="F13" s="28"/>
      <c r="G13" s="28"/>
      <c r="H13" s="28"/>
      <c r="I13" s="28"/>
      <c r="J13" s="28">
        <v>46387</v>
      </c>
      <c r="K13" s="28">
        <f t="shared" ref="K13:S13" si="0">EOMONTH(J13,12)</f>
        <v>46752</v>
      </c>
      <c r="L13" s="28">
        <f t="shared" si="0"/>
        <v>47118</v>
      </c>
      <c r="M13" s="28">
        <f t="shared" si="0"/>
        <v>47483</v>
      </c>
      <c r="N13" s="28">
        <f t="shared" si="0"/>
        <v>47848</v>
      </c>
      <c r="O13" s="28">
        <f t="shared" si="0"/>
        <v>48213</v>
      </c>
      <c r="P13" s="28">
        <f t="shared" si="0"/>
        <v>48579</v>
      </c>
      <c r="Q13" s="28">
        <f t="shared" si="0"/>
        <v>48944</v>
      </c>
      <c r="R13" s="28">
        <f t="shared" si="0"/>
        <v>49309</v>
      </c>
      <c r="S13" s="28">
        <f t="shared" si="0"/>
        <v>49674</v>
      </c>
    </row>
    <row r="14" spans="2:19" x14ac:dyDescent="0.25">
      <c r="R14" s="1" t="s">
        <v>228</v>
      </c>
    </row>
    <row r="15" spans="2:19" x14ac:dyDescent="0.25">
      <c r="C15" s="11" t="s">
        <v>21</v>
      </c>
      <c r="D15" s="11"/>
      <c r="E15" s="34"/>
      <c r="F15" s="34"/>
      <c r="G15" s="34"/>
      <c r="H15" s="34"/>
      <c r="I15" s="34"/>
      <c r="J15" s="54">
        <f ca="1">FSM!I13</f>
        <v>6291682.5862057377</v>
      </c>
      <c r="K15" s="54">
        <f ca="1">FSM!J13</f>
        <v>8831064.9638714362</v>
      </c>
      <c r="L15" s="54">
        <f ca="1">FSM!K13</f>
        <v>12317715.64932845</v>
      </c>
      <c r="M15" s="54">
        <f ca="1">FSM!L13</f>
        <v>16996281.141799424</v>
      </c>
      <c r="N15" s="54">
        <f ca="1">FSM!M13</f>
        <v>23100507.841652028</v>
      </c>
      <c r="O15" s="54">
        <f ca="1">FSM!N13</f>
        <v>30802451.98346974</v>
      </c>
      <c r="P15" s="54">
        <f ca="1">FSM!O13</f>
        <v>40143725.975863963</v>
      </c>
      <c r="Q15" s="54">
        <f ca="1">FSM!P13</f>
        <v>50957490.902535334</v>
      </c>
      <c r="R15" s="54">
        <f ca="1">FSM!Q13</f>
        <v>62798847.509572603</v>
      </c>
      <c r="S15" s="54">
        <f ca="1">FSM!R13</f>
        <v>74908932.852715805</v>
      </c>
    </row>
    <row r="16" spans="2:19" x14ac:dyDescent="0.25">
      <c r="C16" s="5" t="s">
        <v>22</v>
      </c>
      <c r="D16" s="5"/>
      <c r="E16" s="35"/>
      <c r="F16" s="35"/>
      <c r="G16" s="35"/>
      <c r="H16" s="35"/>
      <c r="I16" s="35"/>
      <c r="J16" s="60">
        <f ca="1">FSM!I14</f>
        <v>-1109442.7657788936</v>
      </c>
      <c r="K16" s="60">
        <f ca="1">FSM!J14</f>
        <v>-1557224.3202114757</v>
      </c>
      <c r="L16" s="60">
        <f ca="1">FSM!K14</f>
        <v>-2172042.2686342485</v>
      </c>
      <c r="M16" s="60">
        <f ca="1">FSM!L14</f>
        <v>-2997036.3093738239</v>
      </c>
      <c r="N16" s="60">
        <f ca="1">FSM!M14</f>
        <v>-4073424.0737015754</v>
      </c>
      <c r="O16" s="60">
        <f ca="1">FSM!N14</f>
        <v>-5431545.0681247637</v>
      </c>
      <c r="P16" s="60">
        <f ca="1">FSM!O14</f>
        <v>-7078737.0095526539</v>
      </c>
      <c r="Q16" s="60">
        <f ca="1">FSM!P14</f>
        <v>-8985580.3863995075</v>
      </c>
      <c r="R16" s="60">
        <f ca="1">FSM!Q14</f>
        <v>-11073623.965312503</v>
      </c>
      <c r="S16" s="60">
        <f ca="1">FSM!R14</f>
        <v>-13209053.779647365</v>
      </c>
    </row>
    <row r="17" spans="3:19" x14ac:dyDescent="0.25">
      <c r="C17" s="1" t="s">
        <v>23</v>
      </c>
      <c r="E17" s="34"/>
      <c r="F17" s="34"/>
      <c r="G17" s="34"/>
      <c r="H17" s="34"/>
      <c r="I17" s="34"/>
      <c r="J17" s="34">
        <f ca="1">J15+J16</f>
        <v>5182239.8204268441</v>
      </c>
      <c r="K17" s="34">
        <f t="shared" ref="K17:S17" ca="1" si="1">K15+K16</f>
        <v>7273840.6436599605</v>
      </c>
      <c r="L17" s="34">
        <f t="shared" ca="1" si="1"/>
        <v>10145673.380694201</v>
      </c>
      <c r="M17" s="34">
        <f t="shared" ca="1" si="1"/>
        <v>13999244.8324256</v>
      </c>
      <c r="N17" s="34">
        <f t="shared" ca="1" si="1"/>
        <v>19027083.767950453</v>
      </c>
      <c r="O17" s="34">
        <f t="shared" ca="1" si="1"/>
        <v>25370906.915344976</v>
      </c>
      <c r="P17" s="34">
        <f t="shared" ca="1" si="1"/>
        <v>33064988.966311309</v>
      </c>
      <c r="Q17" s="34">
        <f t="shared" ca="1" si="1"/>
        <v>41971910.516135827</v>
      </c>
      <c r="R17" s="34">
        <f t="shared" ca="1" si="1"/>
        <v>51725223.5442601</v>
      </c>
      <c r="S17" s="34">
        <f t="shared" ca="1" si="1"/>
        <v>61699879.07306844</v>
      </c>
    </row>
    <row r="18" spans="3:19" x14ac:dyDescent="0.25">
      <c r="C18" s="11" t="s">
        <v>229</v>
      </c>
      <c r="D18" s="11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3:19" x14ac:dyDescent="0.25">
      <c r="C19" s="1" t="s">
        <v>25</v>
      </c>
      <c r="E19" s="34"/>
      <c r="F19" s="34"/>
      <c r="G19" s="34"/>
      <c r="H19" s="34"/>
      <c r="I19" s="34"/>
      <c r="J19" s="54">
        <f ca="1">FSM!I16</f>
        <v>-1485756.13835466</v>
      </c>
      <c r="K19" s="54">
        <f ca="1">FSM!J16</f>
        <v>-2041265.9911013804</v>
      </c>
      <c r="L19" s="54">
        <f ca="1">FSM!K16</f>
        <v>-2785603.0284164688</v>
      </c>
      <c r="M19" s="54">
        <f ca="1">FSM!L16</f>
        <v>-3758660.8383783139</v>
      </c>
      <c r="N19" s="54">
        <f ca="1">FSM!M16</f>
        <v>-4993084.0655127363</v>
      </c>
      <c r="O19" s="54">
        <f ca="1">FSM!N16</f>
        <v>-6503816.7900601523</v>
      </c>
      <c r="P19" s="54">
        <f ca="1">FSM!O16</f>
        <v>-8275471.4850346344</v>
      </c>
      <c r="Q19" s="54">
        <f ca="1">FSM!P16</f>
        <v>-10249899.209759206</v>
      </c>
      <c r="R19" s="54">
        <f ca="1">FSM!Q16</f>
        <v>-12317747.358468032</v>
      </c>
      <c r="S19" s="54">
        <f ca="1">FSM!R16</f>
        <v>-14318548.383846071</v>
      </c>
    </row>
    <row r="20" spans="3:19" x14ac:dyDescent="0.25">
      <c r="C20" s="1" t="s">
        <v>24</v>
      </c>
      <c r="E20" s="34"/>
      <c r="F20" s="34"/>
      <c r="G20" s="34"/>
      <c r="H20" s="34"/>
      <c r="I20" s="34"/>
      <c r="J20" s="54">
        <f ca="1">FSM!I17</f>
        <v>-783994.86210479517</v>
      </c>
      <c r="K20" s="54">
        <f ca="1">FSM!J17</f>
        <v>-1056267.251133281</v>
      </c>
      <c r="L20" s="54">
        <f ca="1">FSM!K17</f>
        <v>-1411710.4748557569</v>
      </c>
      <c r="M20" s="54">
        <f ca="1">FSM!L17</f>
        <v>-1862930.7562980654</v>
      </c>
      <c r="N20" s="54">
        <f ca="1">FSM!M17</f>
        <v>-2416501.1494387761</v>
      </c>
      <c r="O20" s="54">
        <f ca="1">FSM!N17</f>
        <v>-3068174.9376029023</v>
      </c>
      <c r="P20" s="54">
        <f ca="1">FSM!O17</f>
        <v>-3797923.2317245225</v>
      </c>
      <c r="Q20" s="54">
        <f ca="1">FSM!P17</f>
        <v>-4566205.959140297</v>
      </c>
      <c r="R20" s="54">
        <f ca="1">FSM!Q17</f>
        <v>-5313293.6576472698</v>
      </c>
      <c r="S20" s="54">
        <f ca="1">FSM!R17</f>
        <v>-5963360.7848259099</v>
      </c>
    </row>
    <row r="21" spans="3:19" x14ac:dyDescent="0.25">
      <c r="C21" s="5" t="s">
        <v>26</v>
      </c>
      <c r="D21" s="5"/>
      <c r="E21" s="35"/>
      <c r="F21" s="35"/>
      <c r="G21" s="35"/>
      <c r="H21" s="35"/>
      <c r="I21" s="35"/>
      <c r="J21" s="60">
        <f ca="1">FSM!I18</f>
        <v>-924634.74863378203</v>
      </c>
      <c r="K21" s="60">
        <f ca="1">FSM!J18</f>
        <v>-1253670.7211004447</v>
      </c>
      <c r="L21" s="60">
        <f ca="1">FSM!K18</f>
        <v>-1687052.1036620182</v>
      </c>
      <c r="M21" s="60">
        <f ca="1">FSM!L18</f>
        <v>-2242853.7766421288</v>
      </c>
      <c r="N21" s="60">
        <f ca="1">FSM!M18</f>
        <v>-2932873.7981059058</v>
      </c>
      <c r="O21" s="60">
        <f ca="1">FSM!N18</f>
        <v>-3756711.4765038961</v>
      </c>
      <c r="P21" s="60">
        <f ca="1">FSM!O18</f>
        <v>-4695268.0975437975</v>
      </c>
      <c r="Q21" s="60">
        <f ca="1">FSM!P18</f>
        <v>-5705274.1877326071</v>
      </c>
      <c r="R21" s="60">
        <f ca="1">FSM!Q18</f>
        <v>-6717055.3170897374</v>
      </c>
      <c r="S21" s="60">
        <f ca="1">FSM!R18</f>
        <v>-7637822.8499516081</v>
      </c>
    </row>
    <row r="22" spans="3:19" x14ac:dyDescent="0.25">
      <c r="C22" s="11" t="s">
        <v>230</v>
      </c>
      <c r="D22" s="11"/>
      <c r="E22" s="34"/>
      <c r="F22" s="34"/>
      <c r="G22" s="34"/>
      <c r="H22" s="34"/>
      <c r="I22" s="34"/>
      <c r="J22" s="34">
        <f ca="1">J17+SUM(J19:J21)</f>
        <v>1987854.0713336072</v>
      </c>
      <c r="K22" s="34">
        <f t="shared" ref="K22:S22" ca="1" si="2">K17+SUM(K19:K21)</f>
        <v>2922636.6803248543</v>
      </c>
      <c r="L22" s="34">
        <f t="shared" ca="1" si="2"/>
        <v>4261307.7737599574</v>
      </c>
      <c r="M22" s="34">
        <f t="shared" ca="1" si="2"/>
        <v>6134799.461107092</v>
      </c>
      <c r="N22" s="34">
        <f t="shared" ca="1" si="2"/>
        <v>8684624.7548930347</v>
      </c>
      <c r="O22" s="34">
        <f t="shared" ca="1" si="2"/>
        <v>12042203.711178025</v>
      </c>
      <c r="P22" s="34">
        <f t="shared" ca="1" si="2"/>
        <v>16296326.152008355</v>
      </c>
      <c r="Q22" s="34">
        <f t="shared" ca="1" si="2"/>
        <v>21450531.159503717</v>
      </c>
      <c r="R22" s="34">
        <f t="shared" ca="1" si="2"/>
        <v>27377127.211055063</v>
      </c>
      <c r="S22" s="34">
        <f t="shared" ca="1" si="2"/>
        <v>33780147.054444849</v>
      </c>
    </row>
    <row r="23" spans="3:19" x14ac:dyDescent="0.25">
      <c r="C23" s="5" t="s">
        <v>231</v>
      </c>
      <c r="D23" s="5"/>
      <c r="E23" s="35"/>
      <c r="F23" s="35"/>
      <c r="G23" s="35"/>
      <c r="H23" s="35"/>
      <c r="I23" s="35"/>
      <c r="J23" s="35">
        <f ca="1">J22*-FSM!I45</f>
        <v>-455616.15314966271</v>
      </c>
      <c r="K23" s="35">
        <f ca="1">K22*-FSM!J45</f>
        <v>-668699.27245832665</v>
      </c>
      <c r="L23" s="35">
        <f ca="1">L22*-FSM!K45</f>
        <v>-961777.16453762248</v>
      </c>
      <c r="M23" s="35">
        <f ca="1">M22*-FSM!L45</f>
        <v>-1349655.8814435604</v>
      </c>
      <c r="N23" s="35">
        <f ca="1">N22*-FSM!M45</f>
        <v>-1910617.4460764676</v>
      </c>
      <c r="O23" s="35">
        <f ca="1">O22*-FSM!N45</f>
        <v>-2528862.7793473853</v>
      </c>
      <c r="P23" s="35">
        <f ca="1">P22*-FSM!O45</f>
        <v>-3422228.4919217546</v>
      </c>
      <c r="Q23" s="35">
        <f ca="1">Q22*-FSM!P45</f>
        <v>-4504611.5434957808</v>
      </c>
      <c r="R23" s="35">
        <f ca="1">R22*-FSM!Q45</f>
        <v>-5749196.714321563</v>
      </c>
      <c r="S23" s="35">
        <f ca="1">S22*-FSM!R45</f>
        <v>-7093830.881433418</v>
      </c>
    </row>
    <row r="24" spans="3:19" x14ac:dyDescent="0.25">
      <c r="C24" s="11" t="s">
        <v>232</v>
      </c>
      <c r="D24" s="11"/>
      <c r="E24" s="34"/>
      <c r="F24" s="34"/>
      <c r="G24" s="34"/>
      <c r="H24" s="34"/>
      <c r="I24" s="34"/>
      <c r="J24" s="39">
        <f ca="1">J22+J23</f>
        <v>1532237.9181839444</v>
      </c>
      <c r="K24" s="39">
        <f t="shared" ref="K24:S24" ca="1" si="3">K22+K23</f>
        <v>2253937.4078665278</v>
      </c>
      <c r="L24" s="39">
        <f t="shared" ca="1" si="3"/>
        <v>3299530.6092223348</v>
      </c>
      <c r="M24" s="39">
        <f t="shared" ca="1" si="3"/>
        <v>4785143.5796635319</v>
      </c>
      <c r="N24" s="39">
        <f t="shared" ca="1" si="3"/>
        <v>6774007.3088165671</v>
      </c>
      <c r="O24" s="39">
        <f t="shared" ca="1" si="3"/>
        <v>9513340.9318306409</v>
      </c>
      <c r="P24" s="39">
        <f t="shared" ca="1" si="3"/>
        <v>12874097.6600866</v>
      </c>
      <c r="Q24" s="39">
        <f t="shared" ca="1" si="3"/>
        <v>16945919.616007935</v>
      </c>
      <c r="R24" s="39">
        <f t="shared" ca="1" si="3"/>
        <v>21627930.496733502</v>
      </c>
      <c r="S24" s="39">
        <f t="shared" ca="1" si="3"/>
        <v>26686316.17301143</v>
      </c>
    </row>
    <row r="25" spans="3:19" x14ac:dyDescent="0.25"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spans="3:19" x14ac:dyDescent="0.25">
      <c r="C26" s="11" t="s">
        <v>233</v>
      </c>
      <c r="D26" s="11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</row>
    <row r="27" spans="3:19" x14ac:dyDescent="0.25">
      <c r="C27" s="1" t="s">
        <v>36</v>
      </c>
      <c r="E27" s="34"/>
      <c r="F27" s="34"/>
      <c r="G27" s="34"/>
      <c r="H27" s="34"/>
      <c r="I27" s="34"/>
      <c r="J27" s="54">
        <f ca="1">FSM!I210</f>
        <v>25239.135662268425</v>
      </c>
      <c r="K27" s="54">
        <f ca="1">FSM!J210</f>
        <v>33966.267631044902</v>
      </c>
      <c r="L27" s="54">
        <f ca="1">FSM!K210</f>
        <v>48413.421716603792</v>
      </c>
      <c r="M27" s="54">
        <f ca="1">FSM!L210</f>
        <v>69840.689668726889</v>
      </c>
      <c r="N27" s="54">
        <f ca="1">FSM!M210</f>
        <v>99829.690219440934</v>
      </c>
      <c r="O27" s="54">
        <f ca="1">FSM!N210</f>
        <v>140141.99015690378</v>
      </c>
      <c r="P27" s="54">
        <f ca="1">FSM!O210</f>
        <v>192491.28542828117</v>
      </c>
      <c r="Q27" s="54">
        <f ca="1">FSM!P210</f>
        <v>257089.07662432757</v>
      </c>
      <c r="R27" s="54">
        <f ca="1">FSM!Q210</f>
        <v>330333.9427620545</v>
      </c>
      <c r="S27" s="54">
        <f ca="1">FSM!R210</f>
        <v>414205.02539184014</v>
      </c>
    </row>
    <row r="28" spans="3:19" x14ac:dyDescent="0.25"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 spans="3:19" x14ac:dyDescent="0.25">
      <c r="C29" s="11" t="s">
        <v>234</v>
      </c>
      <c r="D29" s="11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spans="3:19" x14ac:dyDescent="0.25">
      <c r="C30" s="1" t="s">
        <v>235</v>
      </c>
      <c r="E30" s="34"/>
      <c r="F30" s="34"/>
      <c r="G30" s="34"/>
      <c r="H30" s="34"/>
      <c r="I30" s="34"/>
      <c r="J30" s="54">
        <f ca="1">FSM!I87</f>
        <v>-422893.40061403532</v>
      </c>
      <c r="K30" s="54">
        <f ca="1">FSM!J87</f>
        <v>-591271.01463903394</v>
      </c>
      <c r="L30" s="54">
        <f ca="1">FSM!K87</f>
        <v>-811833.42320313165</v>
      </c>
      <c r="M30" s="54">
        <f ca="1">FSM!L87</f>
        <v>-1089359.4403578476</v>
      </c>
      <c r="N30" s="54">
        <f ca="1">FSM!M87</f>
        <v>-1421311.0818412071</v>
      </c>
      <c r="O30" s="54">
        <f ca="1">FSM!N87</f>
        <v>-1793324.3797698095</v>
      </c>
      <c r="P30" s="54">
        <f ca="1">FSM!O87</f>
        <v>-2175026.7309412919</v>
      </c>
      <c r="Q30" s="54">
        <f ca="1">FSM!P87</f>
        <v>-2517882.2285671197</v>
      </c>
      <c r="R30" s="54">
        <f ca="1">FSM!Q87</f>
        <v>-2757147.1698490586</v>
      </c>
      <c r="S30" s="54">
        <f ca="1">FSM!R87</f>
        <v>-2819718.0980627444</v>
      </c>
    </row>
    <row r="31" spans="3:19" x14ac:dyDescent="0.25">
      <c r="C31" s="1" t="s">
        <v>236</v>
      </c>
      <c r="E31" s="34"/>
      <c r="F31" s="34"/>
      <c r="G31" s="34"/>
      <c r="H31" s="34"/>
      <c r="I31" s="34"/>
      <c r="J31" s="54">
        <f ca="1">FSM!I88</f>
        <v>-56436.108735819202</v>
      </c>
      <c r="K31" s="54">
        <f ca="1">FSM!J88</f>
        <v>-78906.493281889212</v>
      </c>
      <c r="L31" s="54">
        <f ca="1">FSM!K88</f>
        <v>-108341.0601365238</v>
      </c>
      <c r="M31" s="54">
        <f ca="1">FSM!L88</f>
        <v>-145377.55315916421</v>
      </c>
      <c r="N31" s="54">
        <f ca="1">FSM!M88</f>
        <v>-189677.27244205435</v>
      </c>
      <c r="O31" s="54">
        <f ca="1">FSM!N88</f>
        <v>-239323.31303428125</v>
      </c>
      <c r="P31" s="54">
        <f ca="1">FSM!O88</f>
        <v>-290262.38033623784</v>
      </c>
      <c r="Q31" s="54">
        <f ca="1">FSM!P88</f>
        <v>-336017.24460366205</v>
      </c>
      <c r="R31" s="54">
        <f ca="1">FSM!Q88</f>
        <v>-367947.70798580628</v>
      </c>
      <c r="S31" s="54">
        <f ca="1">FSM!R88</f>
        <v>-376297.94401039649</v>
      </c>
    </row>
    <row r="32" spans="3:19" x14ac:dyDescent="0.25">
      <c r="C32" s="1" t="s">
        <v>237</v>
      </c>
      <c r="E32" s="34"/>
      <c r="F32" s="34"/>
      <c r="G32" s="34"/>
      <c r="H32" s="34"/>
      <c r="I32" s="34"/>
      <c r="J32" s="54">
        <f ca="1">FSM!I89</f>
        <v>3272.552463187596</v>
      </c>
      <c r="K32" s="54">
        <f ca="1">FSM!J89</f>
        <v>4575.5393973016726</v>
      </c>
      <c r="L32" s="54">
        <f ca="1">FSM!K89</f>
        <v>6282.3573622663098</v>
      </c>
      <c r="M32" s="54">
        <f ca="1">FSM!L89</f>
        <v>8429.9871188895959</v>
      </c>
      <c r="N32" s="54">
        <f ca="1">FSM!M89</f>
        <v>10998.788524676958</v>
      </c>
      <c r="O32" s="54">
        <f ca="1">FSM!N89</f>
        <v>13877.60628987995</v>
      </c>
      <c r="P32" s="54">
        <f ca="1">FSM!O89</f>
        <v>16831.402607620985</v>
      </c>
      <c r="Q32" s="54">
        <f ca="1">FSM!P89</f>
        <v>19484.583294866723</v>
      </c>
      <c r="R32" s="54">
        <f ca="1">FSM!Q89</f>
        <v>21336.130450272118</v>
      </c>
      <c r="S32" s="54">
        <f ca="1">FSM!R89</f>
        <v>21820.334377200968</v>
      </c>
    </row>
    <row r="33" spans="3:19" x14ac:dyDescent="0.25">
      <c r="C33" s="1" t="s">
        <v>238</v>
      </c>
      <c r="E33" s="34"/>
      <c r="F33" s="34"/>
      <c r="G33" s="34"/>
      <c r="H33" s="34"/>
      <c r="I33" s="34"/>
      <c r="J33" s="54">
        <f ca="1">FSM!I90</f>
        <v>144320.21294253791</v>
      </c>
      <c r="K33" s="54">
        <f ca="1">FSM!J90</f>
        <v>201782.19526612229</v>
      </c>
      <c r="L33" s="54">
        <f ca="1">FSM!K90</f>
        <v>277053.2061754209</v>
      </c>
      <c r="M33" s="54">
        <f ca="1">FSM!L90</f>
        <v>371764.10455952294</v>
      </c>
      <c r="N33" s="54">
        <f ca="1">FSM!M90</f>
        <v>485048.75623756438</v>
      </c>
      <c r="O33" s="54">
        <f ca="1">FSM!N90</f>
        <v>612005.1908770171</v>
      </c>
      <c r="P33" s="54">
        <f ca="1">FSM!O90</f>
        <v>742268.19456009474</v>
      </c>
      <c r="Q33" s="54">
        <f ca="1">FSM!P90</f>
        <v>859273.98929237109</v>
      </c>
      <c r="R33" s="54">
        <f ca="1">FSM!Q90</f>
        <v>940927.58621621691</v>
      </c>
      <c r="S33" s="54">
        <f ca="1">FSM!R90</f>
        <v>962281.07546598651</v>
      </c>
    </row>
    <row r="34" spans="3:19" x14ac:dyDescent="0.25">
      <c r="C34" s="1" t="s">
        <v>239</v>
      </c>
      <c r="E34" s="34"/>
      <c r="F34" s="34"/>
      <c r="G34" s="34"/>
      <c r="H34" s="34"/>
      <c r="I34" s="34"/>
      <c r="J34" s="54">
        <f ca="1">FSM!I91</f>
        <v>184721.86974718084</v>
      </c>
      <c r="K34" s="54">
        <f ca="1">FSM!J91</f>
        <v>258270.02074955101</v>
      </c>
      <c r="L34" s="54">
        <f ca="1">FSM!K91</f>
        <v>354612.74079848977</v>
      </c>
      <c r="M34" s="54">
        <f ca="1">FSM!L91</f>
        <v>475837.4388379273</v>
      </c>
      <c r="N34" s="54">
        <f ca="1">FSM!M91</f>
        <v>620835.51114508114</v>
      </c>
      <c r="O34" s="54">
        <f ca="1">FSM!N91</f>
        <v>783332.70751751773</v>
      </c>
      <c r="P34" s="54">
        <f ca="1">FSM!O91</f>
        <v>950062.12891050614</v>
      </c>
      <c r="Q34" s="54">
        <f ca="1">FSM!P91</f>
        <v>1099823.057982903</v>
      </c>
      <c r="R34" s="54">
        <f ca="1">FSM!Q91</f>
        <v>1204335.1342044165</v>
      </c>
      <c r="S34" s="54">
        <f ca="1">FSM!R91</f>
        <v>1231666.4163541645</v>
      </c>
    </row>
    <row r="35" spans="3:19" x14ac:dyDescent="0.25">
      <c r="C35" s="1" t="s">
        <v>240</v>
      </c>
      <c r="E35" s="34"/>
      <c r="F35" s="34"/>
      <c r="G35" s="34"/>
      <c r="H35" s="34"/>
      <c r="I35" s="34"/>
      <c r="J35" s="54">
        <f ca="1">FSM!I92</f>
        <v>144912.71376052563</v>
      </c>
      <c r="K35" s="54">
        <f ca="1">FSM!J92</f>
        <v>202610.60393676482</v>
      </c>
      <c r="L35" s="54">
        <f ca="1">FSM!K92</f>
        <v>278190.63694785547</v>
      </c>
      <c r="M35" s="54">
        <f ca="1">FSM!L92</f>
        <v>373290.36710832966</v>
      </c>
      <c r="N35" s="54">
        <f ca="1">FSM!M92</f>
        <v>487040.10435835156</v>
      </c>
      <c r="O35" s="54">
        <f ca="1">FSM!N92</f>
        <v>614517.75352374604</v>
      </c>
      <c r="P35" s="54">
        <f ca="1">FSM!O92</f>
        <v>745315.54671871755</v>
      </c>
      <c r="Q35" s="54">
        <f ca="1">FSM!P92</f>
        <v>862801.70402581571</v>
      </c>
      <c r="R35" s="54">
        <f ca="1">FSM!Q92</f>
        <v>944790.52650111215</v>
      </c>
      <c r="S35" s="54">
        <f ca="1">FSM!R92</f>
        <v>966231.68164043222</v>
      </c>
    </row>
    <row r="36" spans="3:19" x14ac:dyDescent="0.25">
      <c r="E36" s="34"/>
      <c r="F36" s="34"/>
      <c r="G36" s="34"/>
      <c r="H36" s="34"/>
      <c r="I36" s="34"/>
      <c r="J36" s="54"/>
      <c r="K36" s="54"/>
      <c r="L36" s="54"/>
      <c r="M36" s="54"/>
      <c r="N36" s="54"/>
      <c r="O36" s="54"/>
      <c r="P36" s="54"/>
      <c r="Q36" s="54"/>
      <c r="R36" s="54"/>
      <c r="S36" s="54"/>
    </row>
    <row r="37" spans="3:19" x14ac:dyDescent="0.25">
      <c r="C37" s="11" t="s">
        <v>241</v>
      </c>
      <c r="D37" s="11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spans="3:19" x14ac:dyDescent="0.25">
      <c r="C38" s="5" t="s">
        <v>241</v>
      </c>
      <c r="D38" s="5"/>
      <c r="E38" s="35"/>
      <c r="F38" s="35"/>
      <c r="G38" s="35"/>
      <c r="H38" s="35"/>
      <c r="I38" s="35"/>
      <c r="J38" s="60">
        <f ca="1">-FSM!I181</f>
        <v>-47632.077202098473</v>
      </c>
      <c r="K38" s="60">
        <f ca="1">-FSM!J181</f>
        <v>-66856.832392993238</v>
      </c>
      <c r="L38" s="60">
        <f ca="1">-FSM!K181</f>
        <v>-93253.016935194071</v>
      </c>
      <c r="M38" s="60">
        <f ca="1">-FSM!L181</f>
        <v>-128672.76192058806</v>
      </c>
      <c r="N38" s="60">
        <f ca="1">-FSM!M181</f>
        <v>-174885.67769354253</v>
      </c>
      <c r="O38" s="60">
        <f ca="1">-FSM!N181</f>
        <v>-233194.34043085805</v>
      </c>
      <c r="P38" s="60">
        <f ca="1">-FSM!O181</f>
        <v>-303913.78278594423</v>
      </c>
      <c r="Q38" s="60">
        <f ca="1">-FSM!P181</f>
        <v>-385780.92703156348</v>
      </c>
      <c r="R38" s="60">
        <f ca="1">-FSM!Q181</f>
        <v>-475427.60013624106</v>
      </c>
      <c r="S38" s="60">
        <f ca="1">-FSM!R181</f>
        <v>-567108.72232973378</v>
      </c>
    </row>
    <row r="39" spans="3:19" x14ac:dyDescent="0.25">
      <c r="C39" s="11" t="s">
        <v>242</v>
      </c>
      <c r="D39" s="11"/>
      <c r="E39" s="34"/>
      <c r="F39" s="34"/>
      <c r="G39" s="34"/>
      <c r="H39" s="34"/>
      <c r="I39" s="34"/>
      <c r="J39" s="39">
        <f ca="1">J24+SUM(J27:J38)</f>
        <v>1507742.8162076918</v>
      </c>
      <c r="K39" s="39">
        <f t="shared" ref="K39:S39" ca="1" si="4">K24+SUM(K27:K38)</f>
        <v>2218107.694533396</v>
      </c>
      <c r="L39" s="39">
        <f t="shared" ca="1" si="4"/>
        <v>3250655.4719481217</v>
      </c>
      <c r="M39" s="39">
        <f t="shared" ca="1" si="4"/>
        <v>4720896.4115193281</v>
      </c>
      <c r="N39" s="39">
        <f t="shared" ca="1" si="4"/>
        <v>6691886.1273248782</v>
      </c>
      <c r="O39" s="39">
        <f t="shared" ca="1" si="4"/>
        <v>9411374.1469607577</v>
      </c>
      <c r="P39" s="39">
        <f t="shared" ca="1" si="4"/>
        <v>12751863.324248347</v>
      </c>
      <c r="Q39" s="39">
        <f t="shared" ca="1" si="4"/>
        <v>16804711.627025872</v>
      </c>
      <c r="R39" s="39">
        <f t="shared" ca="1" si="4"/>
        <v>21469131.338896468</v>
      </c>
      <c r="S39" s="39">
        <f t="shared" ca="1" si="4"/>
        <v>26519395.941838179</v>
      </c>
    </row>
    <row r="40" spans="3:19" x14ac:dyDescent="0.25">
      <c r="C40" s="11"/>
      <c r="D40" s="11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</row>
    <row r="41" spans="3:19" x14ac:dyDescent="0.25">
      <c r="C41" s="11"/>
      <c r="D41" s="11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spans="3:19" x14ac:dyDescent="0.25">
      <c r="C42" s="110" t="s">
        <v>17</v>
      </c>
      <c r="D42" s="110"/>
      <c r="E42" s="111"/>
      <c r="F42" s="111"/>
      <c r="G42" s="111"/>
      <c r="H42" s="111"/>
      <c r="I42" s="131" t="s">
        <v>296</v>
      </c>
      <c r="J42" s="142">
        <v>1</v>
      </c>
      <c r="K42" s="142">
        <v>2</v>
      </c>
      <c r="L42" s="142">
        <v>3</v>
      </c>
      <c r="M42" s="142">
        <v>4</v>
      </c>
      <c r="N42" s="142">
        <v>5</v>
      </c>
      <c r="O42" s="142">
        <v>6</v>
      </c>
      <c r="P42" s="142">
        <v>7</v>
      </c>
      <c r="Q42" s="142">
        <v>8</v>
      </c>
      <c r="R42" s="142">
        <v>9</v>
      </c>
      <c r="S42" s="142">
        <v>10</v>
      </c>
    </row>
    <row r="43" spans="3:19" x14ac:dyDescent="0.25">
      <c r="C43" s="12" t="s">
        <v>18</v>
      </c>
      <c r="D43" s="12"/>
      <c r="E43" s="28"/>
      <c r="F43" s="28"/>
      <c r="G43" s="28"/>
      <c r="H43" s="28"/>
      <c r="I43" s="28">
        <f>D7</f>
        <v>46093</v>
      </c>
      <c r="J43" s="28">
        <f>IF($K$6=0,J13,AVERAGE(J13,I43))</f>
        <v>46240</v>
      </c>
      <c r="K43" s="28">
        <f>IF($K$6=0,K13,AVERAGE(K13,J13))</f>
        <v>46569.5</v>
      </c>
      <c r="L43" s="28">
        <f t="shared" ref="L43:S43" si="5">IF($K$6=0,L13,AVERAGE(L13,K13))</f>
        <v>46935</v>
      </c>
      <c r="M43" s="28">
        <f t="shared" si="5"/>
        <v>47300.5</v>
      </c>
      <c r="N43" s="28">
        <f t="shared" si="5"/>
        <v>47665.5</v>
      </c>
      <c r="O43" s="28">
        <f t="shared" si="5"/>
        <v>48030.5</v>
      </c>
      <c r="P43" s="28">
        <f t="shared" si="5"/>
        <v>48396</v>
      </c>
      <c r="Q43" s="28">
        <f t="shared" si="5"/>
        <v>48761.5</v>
      </c>
      <c r="R43" s="28">
        <f t="shared" si="5"/>
        <v>49126.5</v>
      </c>
      <c r="S43" s="28">
        <f t="shared" si="5"/>
        <v>49491.5</v>
      </c>
    </row>
    <row r="44" spans="3:19" x14ac:dyDescent="0.25">
      <c r="C44" s="11"/>
      <c r="D44" s="11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</row>
    <row r="45" spans="3:19" x14ac:dyDescent="0.25">
      <c r="C45" s="1" t="s">
        <v>252</v>
      </c>
      <c r="E45" s="34"/>
      <c r="F45" s="34"/>
      <c r="G45" s="34"/>
      <c r="H45" s="34"/>
      <c r="I45" s="34"/>
      <c r="J45" s="34">
        <f ca="1">J39*D10</f>
        <v>1210382.4274556192</v>
      </c>
      <c r="K45" s="34">
        <f ca="1">K39</f>
        <v>2218107.694533396</v>
      </c>
      <c r="L45" s="34">
        <f t="shared" ref="L45:S45" ca="1" si="6">L39</f>
        <v>3250655.4719481217</v>
      </c>
      <c r="M45" s="34">
        <f t="shared" ca="1" si="6"/>
        <v>4720896.4115193281</v>
      </c>
      <c r="N45" s="34">
        <f t="shared" ca="1" si="6"/>
        <v>6691886.1273248782</v>
      </c>
      <c r="O45" s="34">
        <f t="shared" ca="1" si="6"/>
        <v>9411374.1469607577</v>
      </c>
      <c r="P45" s="34">
        <f t="shared" ca="1" si="6"/>
        <v>12751863.324248347</v>
      </c>
      <c r="Q45" s="34">
        <f t="shared" ca="1" si="6"/>
        <v>16804711.627025872</v>
      </c>
      <c r="R45" s="34">
        <f t="shared" ca="1" si="6"/>
        <v>21469131.338896468</v>
      </c>
      <c r="S45" s="34">
        <f t="shared" ca="1" si="6"/>
        <v>26519395.941838179</v>
      </c>
    </row>
    <row r="46" spans="3:19" x14ac:dyDescent="0.25">
      <c r="C46" s="1" t="s">
        <v>243</v>
      </c>
      <c r="E46" s="34"/>
      <c r="F46" s="34"/>
      <c r="G46" s="34"/>
      <c r="H46" s="34"/>
      <c r="I46" s="34"/>
      <c r="J46" s="72">
        <f>1/(1+$K$5)^((J43-$I$43)/365)</f>
        <v>0.9617831360343444</v>
      </c>
      <c r="K46" s="72">
        <f t="shared" ref="K46:S46" si="7">1/(1+$K$5)^((K43-$I$43)/365)</f>
        <v>0.88134240183942592</v>
      </c>
      <c r="L46" s="72">
        <f t="shared" si="7"/>
        <v>0.79995913505889915</v>
      </c>
      <c r="M46" s="72">
        <f t="shared" si="7"/>
        <v>0.72609080923440394</v>
      </c>
      <c r="N46" s="72">
        <f t="shared" si="7"/>
        <v>0.65913084813180878</v>
      </c>
      <c r="O46" s="72">
        <f t="shared" si="7"/>
        <v>0.59834592234688777</v>
      </c>
      <c r="P46" s="72">
        <f t="shared" si="7"/>
        <v>0.54309458560901347</v>
      </c>
      <c r="Q46" s="72">
        <f t="shared" si="7"/>
        <v>0.49294516416346418</v>
      </c>
      <c r="R46" s="72">
        <f t="shared" si="7"/>
        <v>0.44748585163904125</v>
      </c>
      <c r="S46" s="72">
        <f t="shared" si="7"/>
        <v>0.40621878856836857</v>
      </c>
    </row>
    <row r="47" spans="3:19" x14ac:dyDescent="0.25">
      <c r="C47" s="11" t="s">
        <v>244</v>
      </c>
      <c r="D47" s="11"/>
      <c r="E47" s="34"/>
      <c r="F47" s="34"/>
      <c r="G47" s="34"/>
      <c r="H47" s="34"/>
      <c r="I47" s="34"/>
      <c r="J47" s="39">
        <f ca="1">J45*J46</f>
        <v>1164125.4068791277</v>
      </c>
      <c r="K47" s="39">
        <f t="shared" ref="K47:S47" ca="1" si="8">K45*K46</f>
        <v>1954912.363038575</v>
      </c>
      <c r="L47" s="39">
        <f t="shared" ca="1" si="8"/>
        <v>2600391.539714097</v>
      </c>
      <c r="M47" s="39">
        <f t="shared" ca="1" si="8"/>
        <v>3427799.4957518624</v>
      </c>
      <c r="N47" s="39">
        <f t="shared" ca="1" si="8"/>
        <v>4410828.578705132</v>
      </c>
      <c r="O47" s="39">
        <f t="shared" ca="1" si="8"/>
        <v>5631257.3445148887</v>
      </c>
      <c r="P47" s="39">
        <f t="shared" ca="1" si="8"/>
        <v>6925467.9278254332</v>
      </c>
      <c r="Q47" s="39">
        <f t="shared" ca="1" si="8"/>
        <v>8283801.3317039441</v>
      </c>
      <c r="R47" s="39">
        <f t="shared" ca="1" si="8"/>
        <v>9607132.5211365167</v>
      </c>
      <c r="S47" s="39">
        <f t="shared" ca="1" si="8"/>
        <v>10772676.893058416</v>
      </c>
    </row>
    <row r="50" spans="2:19" x14ac:dyDescent="0.25">
      <c r="B50" s="1" t="s">
        <v>33</v>
      </c>
      <c r="C50" s="6" t="s">
        <v>253</v>
      </c>
      <c r="D50" s="113"/>
      <c r="E50"/>
      <c r="F50" s="6" t="s">
        <v>254</v>
      </c>
      <c r="G50" s="7"/>
      <c r="H50" s="7"/>
      <c r="I50" s="8"/>
      <c r="K50" s="6" t="s">
        <v>255</v>
      </c>
      <c r="L50" s="7"/>
      <c r="M50" s="7"/>
      <c r="N50" s="8"/>
      <c r="P50" s="132" t="s">
        <v>256</v>
      </c>
      <c r="Q50" s="21"/>
      <c r="R50" s="21"/>
      <c r="S50" s="22"/>
    </row>
    <row r="51" spans="2:19" x14ac:dyDescent="0.25">
      <c r="C51" s="107" t="s">
        <v>258</v>
      </c>
      <c r="D51" s="116">
        <v>3.5000000000000003E-2</v>
      </c>
      <c r="F51" s="107" t="s">
        <v>266</v>
      </c>
      <c r="G51" s="16"/>
      <c r="H51" s="16"/>
      <c r="I51" s="122">
        <f ca="1">FSM!R32</f>
        <v>34194352.079836689</v>
      </c>
      <c r="K51" s="124" t="s">
        <v>270</v>
      </c>
      <c r="L51" s="16"/>
      <c r="M51" s="16"/>
      <c r="N51" s="17"/>
      <c r="P51" s="107" t="s">
        <v>162</v>
      </c>
      <c r="Q51" s="16"/>
      <c r="R51" s="16"/>
      <c r="S51" s="122">
        <f>FSM!D7</f>
        <v>2391675.7110000001</v>
      </c>
    </row>
    <row r="52" spans="2:19" x14ac:dyDescent="0.25">
      <c r="C52" s="95" t="s">
        <v>268</v>
      </c>
      <c r="D52" s="117">
        <f ca="1">S39*(1+D51)</f>
        <v>27447574.799802512</v>
      </c>
      <c r="F52" s="95" t="s">
        <v>267</v>
      </c>
      <c r="I52" s="186">
        <f>Valuation!P14</f>
        <v>35.893007164186109</v>
      </c>
      <c r="K52" s="95" t="s">
        <v>271</v>
      </c>
      <c r="N52" s="128">
        <v>0</v>
      </c>
      <c r="P52" s="95" t="s">
        <v>287</v>
      </c>
      <c r="S52" s="128">
        <v>41762</v>
      </c>
    </row>
    <row r="53" spans="2:19" x14ac:dyDescent="0.25">
      <c r="C53" s="95" t="s">
        <v>260</v>
      </c>
      <c r="D53" s="117">
        <f ca="1">D52/(K5-D51)</f>
        <v>412198360.3802312</v>
      </c>
      <c r="F53" s="95" t="s">
        <v>260</v>
      </c>
      <c r="I53" s="117">
        <f ca="1">I51*I52</f>
        <v>1227338124.1762805</v>
      </c>
      <c r="K53" s="95" t="s">
        <v>273</v>
      </c>
      <c r="N53" s="128">
        <v>0</v>
      </c>
      <c r="P53" s="95" t="s">
        <v>291</v>
      </c>
      <c r="S53" s="128">
        <v>163473</v>
      </c>
    </row>
    <row r="54" spans="2:19" x14ac:dyDescent="0.25">
      <c r="C54" s="95" t="s">
        <v>259</v>
      </c>
      <c r="D54" s="117">
        <f ca="1">D53/(1+K5)^((S43-I43)/365)</f>
        <v>167442718.60352534</v>
      </c>
      <c r="F54" s="95" t="s">
        <v>259</v>
      </c>
      <c r="I54" s="117">
        <f ca="1">I53/(1+K5)^((S43-I43)/365)</f>
        <v>498567805.96666259</v>
      </c>
      <c r="K54" s="95" t="s">
        <v>272</v>
      </c>
      <c r="N54" s="128">
        <v>0</v>
      </c>
      <c r="P54" s="95" t="s">
        <v>292</v>
      </c>
      <c r="S54" s="117">
        <f>152202*9.98+11271*130</f>
        <v>2984205.96</v>
      </c>
    </row>
    <row r="55" spans="2:19" x14ac:dyDescent="0.25">
      <c r="C55" s="95" t="s">
        <v>261</v>
      </c>
      <c r="D55" s="117">
        <f ca="1">SUM(J47:S47)</f>
        <v>54778393.402327985</v>
      </c>
      <c r="F55" s="95" t="s">
        <v>261</v>
      </c>
      <c r="I55" s="117">
        <f ca="1">SUM(J47:S47)</f>
        <v>54778393.402327985</v>
      </c>
      <c r="K55" s="95" t="s">
        <v>51</v>
      </c>
      <c r="N55" s="125">
        <f>FSM!H64</f>
        <v>229338</v>
      </c>
      <c r="P55" s="95" t="s">
        <v>293</v>
      </c>
      <c r="S55" s="117">
        <f>-S54/D8</f>
        <v>-19441.081172638435</v>
      </c>
    </row>
    <row r="56" spans="2:19" x14ac:dyDescent="0.25">
      <c r="C56" s="126" t="s">
        <v>262</v>
      </c>
      <c r="D56" s="129">
        <f ca="1">D54+D55</f>
        <v>222221112.00585333</v>
      </c>
      <c r="F56" s="126" t="s">
        <v>262</v>
      </c>
      <c r="I56" s="129">
        <f ca="1">I54+I55</f>
        <v>553346199.36899054</v>
      </c>
      <c r="K56" s="95" t="s">
        <v>60</v>
      </c>
      <c r="N56" s="125">
        <f>FSM!H73</f>
        <v>100743</v>
      </c>
      <c r="P56" s="95" t="s">
        <v>294</v>
      </c>
      <c r="S56" s="117">
        <f>S53+S55</f>
        <v>144031.91882736157</v>
      </c>
    </row>
    <row r="57" spans="2:19" x14ac:dyDescent="0.25">
      <c r="C57" s="95"/>
      <c r="D57" s="82"/>
      <c r="F57" s="95"/>
      <c r="I57" s="82"/>
      <c r="K57" s="126" t="s">
        <v>274</v>
      </c>
      <c r="N57" s="117"/>
      <c r="P57" s="95" t="s">
        <v>273</v>
      </c>
      <c r="S57" s="128">
        <v>0</v>
      </c>
    </row>
    <row r="58" spans="2:19" x14ac:dyDescent="0.25">
      <c r="C58" s="118" t="s">
        <v>263</v>
      </c>
      <c r="D58" s="119">
        <f ca="1">D54/$D$56</f>
        <v>0.75349599816202384</v>
      </c>
      <c r="F58" s="118" t="s">
        <v>263</v>
      </c>
      <c r="I58" s="119">
        <f ca="1">I54/I56</f>
        <v>0.90100520530403094</v>
      </c>
      <c r="K58" s="95" t="s">
        <v>275</v>
      </c>
      <c r="N58" s="125">
        <f>FSM!H52</f>
        <v>7177043</v>
      </c>
      <c r="P58" s="95" t="s">
        <v>288</v>
      </c>
      <c r="S58" s="128">
        <v>0</v>
      </c>
    </row>
    <row r="59" spans="2:19" x14ac:dyDescent="0.25">
      <c r="C59" s="118" t="s">
        <v>264</v>
      </c>
      <c r="D59" s="119">
        <f ca="1">D55/$D$56</f>
        <v>0.24650400183797622</v>
      </c>
      <c r="F59" s="118" t="s">
        <v>264</v>
      </c>
      <c r="I59" s="119">
        <f ca="1">I55/I56</f>
        <v>9.8994794695969057E-2</v>
      </c>
      <c r="K59" s="95"/>
      <c r="N59" s="117"/>
      <c r="P59" s="95"/>
      <c r="S59" s="117"/>
    </row>
    <row r="60" spans="2:19" x14ac:dyDescent="0.25">
      <c r="C60" s="120" t="s">
        <v>265</v>
      </c>
      <c r="D60" s="121">
        <f ca="1">D53/FSM!R32</f>
        <v>12.054574375845283</v>
      </c>
      <c r="F60" s="120" t="s">
        <v>269</v>
      </c>
      <c r="G60" s="5"/>
      <c r="H60" s="5"/>
      <c r="I60" s="123">
        <f ca="1">(K5-S45/I53)/(1+S45/I53)</f>
        <v>7.8289404098569451E-2</v>
      </c>
      <c r="K60" s="127" t="s">
        <v>255</v>
      </c>
      <c r="L60" s="5"/>
      <c r="M60" s="5"/>
      <c r="N60" s="130">
        <f>SUM(N52:N56)-N58</f>
        <v>-6846962</v>
      </c>
      <c r="P60" s="127" t="s">
        <v>290</v>
      </c>
      <c r="Q60" s="5"/>
      <c r="R60" s="5"/>
      <c r="S60" s="130">
        <f>S51+S52+S56</f>
        <v>2577469.6298273616</v>
      </c>
    </row>
    <row r="63" spans="2:19" x14ac:dyDescent="0.25">
      <c r="C63" s="6" t="s">
        <v>276</v>
      </c>
      <c r="D63" s="33"/>
      <c r="E63" s="33"/>
      <c r="F63" s="33"/>
      <c r="G63" s="33"/>
      <c r="H63" s="33"/>
      <c r="I63" s="33"/>
      <c r="J63" s="33"/>
      <c r="K63" s="33"/>
      <c r="L63" s="113"/>
    </row>
    <row r="64" spans="2:19" x14ac:dyDescent="0.25">
      <c r="D64" s="14" t="s">
        <v>282</v>
      </c>
      <c r="E64" s="14" t="s">
        <v>37</v>
      </c>
      <c r="I64" s="14" t="s">
        <v>286</v>
      </c>
      <c r="J64" s="14"/>
      <c r="K64" s="14" t="s">
        <v>289</v>
      </c>
      <c r="L64" s="14"/>
    </row>
    <row r="65" spans="2:19" x14ac:dyDescent="0.25">
      <c r="C65" s="1" t="s">
        <v>277</v>
      </c>
      <c r="D65" s="53">
        <f ca="1">D56</f>
        <v>222221112.00585333</v>
      </c>
      <c r="E65" s="53">
        <f ca="1">I56</f>
        <v>553346199.36899054</v>
      </c>
      <c r="I65" s="14" t="s">
        <v>282</v>
      </c>
      <c r="J65" s="14" t="s">
        <v>37</v>
      </c>
      <c r="K65" s="14" t="s">
        <v>282</v>
      </c>
      <c r="L65" s="14" t="s">
        <v>37</v>
      </c>
    </row>
    <row r="66" spans="2:19" x14ac:dyDescent="0.25">
      <c r="C66" s="1" t="s">
        <v>278</v>
      </c>
      <c r="D66" s="53">
        <f>$N$60</f>
        <v>-6846962</v>
      </c>
      <c r="E66" s="53">
        <f>$N$60</f>
        <v>-6846962</v>
      </c>
      <c r="H66" s="1" t="s">
        <v>283</v>
      </c>
      <c r="I66" s="115">
        <f ca="1">D65/((1-$D$10)*J15+$D$10*FSM!H13)</f>
        <v>45.973786691400896</v>
      </c>
      <c r="J66" s="115">
        <f ca="1">E65/((1-D10)*J15+D10*FSM!H13)</f>
        <v>114.47796254217864</v>
      </c>
      <c r="K66" s="115">
        <f ca="1">D65/$J$15</f>
        <v>35.319822473731307</v>
      </c>
      <c r="L66" s="115">
        <f ca="1">E65/$J$15</f>
        <v>87.948842267119446</v>
      </c>
    </row>
    <row r="67" spans="2:19" x14ac:dyDescent="0.25">
      <c r="C67" s="1" t="s">
        <v>279</v>
      </c>
      <c r="D67" s="34">
        <f ca="1">D65-D66</f>
        <v>229068074.00585333</v>
      </c>
      <c r="E67" s="34">
        <f ca="1">E65-E66</f>
        <v>560193161.36899054</v>
      </c>
      <c r="H67" s="1" t="s">
        <v>284</v>
      </c>
      <c r="I67" s="115">
        <f ca="1">D65/((1-D10)*FSM!I32+D10*FSM!H32)</f>
        <v>143.07721320477623</v>
      </c>
      <c r="J67" s="115">
        <f ca="1">E65/((1-D10)*FSM!I32+D10*FSM!H32)</f>
        <v>356.27232457141292</v>
      </c>
      <c r="K67" s="115">
        <f ca="1">D65/FSM!$I$32</f>
        <v>110.38789025445686</v>
      </c>
      <c r="L67" s="115">
        <f ca="1">E65/FSM!$I$32</f>
        <v>274.8736111403133</v>
      </c>
    </row>
    <row r="68" spans="2:19" x14ac:dyDescent="0.25">
      <c r="C68" s="1" t="s">
        <v>280</v>
      </c>
      <c r="D68" s="34">
        <f>$S$60</f>
        <v>2577469.6298273616</v>
      </c>
      <c r="E68" s="34">
        <f>$S$60</f>
        <v>2577469.6298273616</v>
      </c>
      <c r="H68" s="1" t="s">
        <v>285</v>
      </c>
      <c r="I68" s="115">
        <f ca="1">D65/((1-D10)*J22+D10*FSM!H19)</f>
        <v>145.50991308641235</v>
      </c>
      <c r="J68" s="115">
        <f ca="1">E65/((1-D10)*J22+D10*FSM!H19)</f>
        <v>362.32991838668136</v>
      </c>
      <c r="K68" s="115">
        <f ca="1">D65/$J$22</f>
        <v>111.7894493416059</v>
      </c>
      <c r="L68" s="115">
        <f ca="1">E65/$J$22</f>
        <v>278.36359184945746</v>
      </c>
    </row>
    <row r="69" spans="2:19" x14ac:dyDescent="0.25">
      <c r="C69" s="80" t="s">
        <v>281</v>
      </c>
      <c r="D69" s="134">
        <f ca="1">D67/D68</f>
        <v>88.873238836647815</v>
      </c>
      <c r="E69" s="135">
        <f ca="1">E67/E68</f>
        <v>217.34229373112427</v>
      </c>
    </row>
    <row r="72" spans="2:19" x14ac:dyDescent="0.25">
      <c r="B72" s="1" t="s">
        <v>33</v>
      </c>
      <c r="C72" s="6" t="s">
        <v>110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113"/>
    </row>
    <row r="74" spans="2:19" x14ac:dyDescent="0.25">
      <c r="D74" s="13" t="s">
        <v>281</v>
      </c>
      <c r="E74" s="13"/>
      <c r="F74" s="13"/>
      <c r="G74" s="13"/>
      <c r="H74" s="13"/>
      <c r="I74" s="13"/>
      <c r="J74" s="13"/>
      <c r="M74" s="13" t="s">
        <v>299</v>
      </c>
      <c r="N74" s="13"/>
      <c r="O74" s="13"/>
      <c r="P74" s="13"/>
      <c r="Q74" s="13"/>
      <c r="R74" s="13"/>
      <c r="S74" s="13"/>
    </row>
    <row r="75" spans="2:19" x14ac:dyDescent="0.25">
      <c r="D75" s="9" t="s">
        <v>258</v>
      </c>
      <c r="E75" s="9"/>
      <c r="F75" s="9"/>
      <c r="G75" s="9"/>
      <c r="H75" s="9"/>
      <c r="I75" s="9"/>
      <c r="J75" s="9"/>
      <c r="M75" s="9" t="s">
        <v>258</v>
      </c>
      <c r="N75" s="9"/>
      <c r="O75" s="9"/>
      <c r="P75" s="9"/>
      <c r="Q75" s="9"/>
      <c r="R75" s="9"/>
      <c r="S75" s="9"/>
    </row>
    <row r="76" spans="2:19" x14ac:dyDescent="0.25">
      <c r="D76" s="143">
        <f ca="1">D69</f>
        <v>88.873238836647815</v>
      </c>
      <c r="E76" s="109">
        <v>0.02</v>
      </c>
      <c r="F76" s="191">
        <f>E76+0.005</f>
        <v>2.5000000000000001E-2</v>
      </c>
      <c r="G76" s="191">
        <f t="shared" ref="G76:J76" si="9">F76+0.005</f>
        <v>3.0000000000000002E-2</v>
      </c>
      <c r="H76" s="191">
        <f t="shared" si="9"/>
        <v>3.5000000000000003E-2</v>
      </c>
      <c r="I76" s="191">
        <f t="shared" si="9"/>
        <v>0.04</v>
      </c>
      <c r="J76" s="191">
        <f t="shared" si="9"/>
        <v>4.4999999999999998E-2</v>
      </c>
      <c r="M76" s="144">
        <f ca="1">K67</f>
        <v>110.38789025445686</v>
      </c>
      <c r="N76" s="109">
        <v>0.02</v>
      </c>
      <c r="O76" s="191">
        <f>N76+0.005</f>
        <v>2.5000000000000001E-2</v>
      </c>
      <c r="P76" s="191">
        <f t="shared" ref="P76:S76" si="10">O76+0.005</f>
        <v>3.0000000000000002E-2</v>
      </c>
      <c r="Q76" s="191">
        <f t="shared" si="10"/>
        <v>3.5000000000000003E-2</v>
      </c>
      <c r="R76" s="191">
        <f t="shared" si="10"/>
        <v>0.04</v>
      </c>
      <c r="S76" s="191">
        <f t="shared" si="10"/>
        <v>4.4999999999999998E-2</v>
      </c>
    </row>
    <row r="77" spans="2:19" x14ac:dyDescent="0.25">
      <c r="D77" s="100">
        <v>0.1116</v>
      </c>
      <c r="E77" s="133">
        <f t="dataTable" ref="E77:J82" dt2D="1" dtr="1" r1="D51" r2="K5" ca="1"/>
        <v>65.48921676750237</v>
      </c>
      <c r="F77" s="133">
        <v>68.181063307816316</v>
      </c>
      <c r="G77" s="133">
        <v>71.20279300258052</v>
      </c>
      <c r="H77" s="133">
        <v>74.619004380734282</v>
      </c>
      <c r="I77" s="133">
        <v>78.512340253043632</v>
      </c>
      <c r="J77" s="133">
        <v>82.990261091165152</v>
      </c>
      <c r="M77" s="100">
        <v>0.1116</v>
      </c>
      <c r="N77" s="115">
        <f t="dataTable" ref="N77:S82" dt2D="1" dtr="1" r1="D51" r2="K5" ca="1"/>
        <v>80.448090896444015</v>
      </c>
      <c r="O77" s="115">
        <v>83.894604292695945</v>
      </c>
      <c r="P77" s="115">
        <v>87.763484526723872</v>
      </c>
      <c r="Q77" s="115">
        <v>92.13744050931939</v>
      </c>
      <c r="R77" s="115">
        <v>97.122284198981362</v>
      </c>
      <c r="S77" s="115">
        <v>102.85560291712105</v>
      </c>
    </row>
    <row r="78" spans="2:19" x14ac:dyDescent="0.25">
      <c r="D78" s="192">
        <f>D77-0.005</f>
        <v>0.1066</v>
      </c>
      <c r="E78" s="133">
        <v>70.487489881555092</v>
      </c>
      <c r="F78" s="133">
        <v>73.624582985528249</v>
      </c>
      <c r="G78" s="133">
        <v>77.171218270176766</v>
      </c>
      <c r="H78" s="133">
        <v>81.21319367837954</v>
      </c>
      <c r="I78" s="133">
        <v>85.862072301027183</v>
      </c>
      <c r="J78" s="133">
        <v>91.265639011766936</v>
      </c>
      <c r="M78" s="192">
        <f>M77-0.005</f>
        <v>0.1066</v>
      </c>
      <c r="N78" s="115">
        <v>86.8476441353517</v>
      </c>
      <c r="O78" s="115">
        <v>90.864230239428807</v>
      </c>
      <c r="P78" s="115">
        <v>95.40517484273272</v>
      </c>
      <c r="Q78" s="115">
        <v>100.58032958616286</v>
      </c>
      <c r="R78" s="115">
        <v>106.5325345913693</v>
      </c>
      <c r="S78" s="115">
        <v>113.45100664287546</v>
      </c>
    </row>
    <row r="79" spans="2:19" x14ac:dyDescent="0.25">
      <c r="C79" s="105" t="s">
        <v>297</v>
      </c>
      <c r="D79" s="192">
        <f t="shared" ref="D79:D82" si="11">D78-0.005</f>
        <v>0.1016</v>
      </c>
      <c r="E79" s="133">
        <v>76.147045647526753</v>
      </c>
      <c r="F79" s="133">
        <v>79.829708952188156</v>
      </c>
      <c r="G79" s="133">
        <v>84.026710707221326</v>
      </c>
      <c r="H79" s="133">
        <v>88.853892905953145</v>
      </c>
      <c r="I79" s="133">
        <v>94.464708578505068</v>
      </c>
      <c r="J79" s="133">
        <v>101.06683444055381</v>
      </c>
      <c r="L79" s="105" t="s">
        <v>297</v>
      </c>
      <c r="M79" s="192">
        <f t="shared" ref="M79:M82" si="12">M78-0.005</f>
        <v>0.1016</v>
      </c>
      <c r="N79" s="115">
        <v>94.093872503920309</v>
      </c>
      <c r="O79" s="115">
        <v>98.808980970661011</v>
      </c>
      <c r="P79" s="115">
        <v>104.18262413946054</v>
      </c>
      <c r="Q79" s="115">
        <v>110.36312063690862</v>
      </c>
      <c r="R79" s="115">
        <v>117.54694448783854</v>
      </c>
      <c r="S79" s="115">
        <v>125.99999516755466</v>
      </c>
    </row>
    <row r="80" spans="2:19" x14ac:dyDescent="0.25">
      <c r="D80" s="192">
        <f t="shared" si="11"/>
        <v>9.6599999999999991E-2</v>
      </c>
      <c r="E80" s="133">
        <v>82.59946488199094</v>
      </c>
      <c r="F80" s="133">
        <v>86.958185105173442</v>
      </c>
      <c r="G80" s="133">
        <v>91.97136782432932</v>
      </c>
      <c r="H80" s="133">
        <v>97.798378906984496</v>
      </c>
      <c r="I80" s="133">
        <v>104.65489724805931</v>
      </c>
      <c r="J80" s="133">
        <v>112.84019821337344</v>
      </c>
      <c r="M80" s="192">
        <f t="shared" si="12"/>
        <v>9.6599999999999991E-2</v>
      </c>
      <c r="N80" s="115">
        <v>102.35524587597772</v>
      </c>
      <c r="O80" s="115">
        <v>107.93594574676629</v>
      </c>
      <c r="P80" s="115">
        <v>114.35458854109672</v>
      </c>
      <c r="Q80" s="115">
        <v>121.8152188020392</v>
      </c>
      <c r="R80" s="115">
        <v>130.59398161791853</v>
      </c>
      <c r="S80" s="115">
        <v>141.07405505703025</v>
      </c>
    </row>
    <row r="81" spans="3:19" x14ac:dyDescent="0.25">
      <c r="D81" s="192">
        <f t="shared" si="11"/>
        <v>9.1599999999999987E-2</v>
      </c>
      <c r="E81" s="133">
        <v>90.013186378692197</v>
      </c>
      <c r="F81" s="133">
        <v>95.220436215166572</v>
      </c>
      <c r="G81" s="133">
        <v>101.27301881730243</v>
      </c>
      <c r="H81" s="133">
        <v>108.39496230320782</v>
      </c>
      <c r="I81" s="133">
        <v>116.89712739490885</v>
      </c>
      <c r="J81" s="133">
        <v>127.22379143332682</v>
      </c>
      <c r="M81" s="192">
        <f t="shared" si="12"/>
        <v>9.1599999999999987E-2</v>
      </c>
      <c r="N81" s="115">
        <v>111.84742534155816</v>
      </c>
      <c r="O81" s="115">
        <v>118.51454252311433</v>
      </c>
      <c r="P81" s="115">
        <v>126.26398392245565</v>
      </c>
      <c r="Q81" s="115">
        <v>135.38258457963107</v>
      </c>
      <c r="R81" s="115">
        <v>146.26835590680173</v>
      </c>
      <c r="S81" s="115">
        <v>159.49012966469573</v>
      </c>
    </row>
    <row r="82" spans="3:19" x14ac:dyDescent="0.25">
      <c r="D82" s="192">
        <f t="shared" si="11"/>
        <v>8.6599999999999983E-2</v>
      </c>
      <c r="E82" s="133">
        <v>98.607348300831603</v>
      </c>
      <c r="F82" s="133">
        <v>104.89533093464304</v>
      </c>
      <c r="G82" s="133">
        <v>112.29426456382755</v>
      </c>
      <c r="H82" s="133">
        <v>121.12710005913307</v>
      </c>
      <c r="I82" s="133">
        <v>131.85539381523375</v>
      </c>
      <c r="J82" s="133">
        <v>145.1626043396279</v>
      </c>
      <c r="M82" s="192">
        <f t="shared" si="12"/>
        <v>8.6599999999999983E-2</v>
      </c>
      <c r="N82" s="115">
        <v>122.85098507299709</v>
      </c>
      <c r="O82" s="115">
        <v>130.90182157436135</v>
      </c>
      <c r="P82" s="115">
        <v>140.37506735158505</v>
      </c>
      <c r="Q82" s="115">
        <v>151.68421347323195</v>
      </c>
      <c r="R82" s="115">
        <v>165.42021498579018</v>
      </c>
      <c r="S82" s="115">
        <v>182.45813993886725</v>
      </c>
    </row>
    <row r="85" spans="3:19" x14ac:dyDescent="0.25">
      <c r="D85" s="13" t="s">
        <v>281</v>
      </c>
      <c r="E85" s="13"/>
      <c r="F85" s="13"/>
      <c r="G85" s="13"/>
      <c r="H85" s="13"/>
      <c r="I85" s="13"/>
      <c r="J85" s="13"/>
      <c r="M85" s="13" t="s">
        <v>299</v>
      </c>
      <c r="N85" s="13"/>
      <c r="O85" s="13"/>
      <c r="P85" s="13"/>
      <c r="Q85" s="13"/>
      <c r="R85" s="13"/>
      <c r="S85" s="13"/>
    </row>
    <row r="86" spans="3:19" x14ac:dyDescent="0.25">
      <c r="D86" s="9" t="s">
        <v>298</v>
      </c>
      <c r="E86" s="9"/>
      <c r="F86" s="9"/>
      <c r="G86" s="9"/>
      <c r="H86" s="9"/>
      <c r="I86" s="9"/>
      <c r="J86" s="9"/>
      <c r="M86" s="9" t="s">
        <v>298</v>
      </c>
      <c r="N86" s="9"/>
      <c r="O86" s="9"/>
      <c r="P86" s="9"/>
      <c r="Q86" s="9"/>
      <c r="R86" s="9"/>
      <c r="S86" s="9"/>
    </row>
    <row r="87" spans="3:19" x14ac:dyDescent="0.25">
      <c r="D87" s="143">
        <f ca="1">E69</f>
        <v>217.34229373112427</v>
      </c>
      <c r="E87" s="145">
        <v>30</v>
      </c>
      <c r="F87" s="199">
        <f>E87+2</f>
        <v>32</v>
      </c>
      <c r="G87" s="199">
        <f t="shared" ref="G87:J87" si="13">F87+2</f>
        <v>34</v>
      </c>
      <c r="H87" s="199">
        <f t="shared" si="13"/>
        <v>36</v>
      </c>
      <c r="I87" s="199">
        <f t="shared" si="13"/>
        <v>38</v>
      </c>
      <c r="J87" s="199">
        <f t="shared" si="13"/>
        <v>40</v>
      </c>
      <c r="M87" s="144">
        <f ca="1">L67</f>
        <v>274.8736111403133</v>
      </c>
      <c r="N87" s="145">
        <v>30</v>
      </c>
      <c r="O87" s="199">
        <f>N87+2</f>
        <v>32</v>
      </c>
      <c r="P87" s="199">
        <f t="shared" ref="P87:S87" si="14">O87+2</f>
        <v>34</v>
      </c>
      <c r="Q87" s="199">
        <f t="shared" si="14"/>
        <v>36</v>
      </c>
      <c r="R87" s="199">
        <f t="shared" si="14"/>
        <v>38</v>
      </c>
      <c r="S87" s="199">
        <f t="shared" si="14"/>
        <v>40</v>
      </c>
    </row>
    <row r="88" spans="3:19" x14ac:dyDescent="0.25">
      <c r="D88" s="100">
        <v>0.1116</v>
      </c>
      <c r="E88" s="133">
        <f t="dataTable" ref="E88:J93" dt2D="1" dtr="1" r1="I52" r2="K5" ca="1"/>
        <v>171.32143791143324</v>
      </c>
      <c r="F88" s="133">
        <v>181.22897867809965</v>
      </c>
      <c r="G88" s="133">
        <v>191.13651944476609</v>
      </c>
      <c r="H88" s="133">
        <v>201.04406021143251</v>
      </c>
      <c r="I88" s="133">
        <v>210.95160097809892</v>
      </c>
      <c r="J88" s="133">
        <v>220.85914174476537</v>
      </c>
      <c r="M88" s="100">
        <v>0.1116</v>
      </c>
      <c r="N88" s="115">
        <f t="dataTable" ref="N88:S93" dt2D="1" dtr="1" r1="I52" r2="K5" ca="1"/>
        <v>215.95067711932515</v>
      </c>
      <c r="O88" s="115">
        <v>228.63582520070335</v>
      </c>
      <c r="P88" s="115">
        <v>241.32097328208155</v>
      </c>
      <c r="Q88" s="115">
        <v>254.00612136345973</v>
      </c>
      <c r="R88" s="115">
        <v>266.69126944483793</v>
      </c>
      <c r="S88" s="115">
        <v>279.37641752621613</v>
      </c>
    </row>
    <row r="89" spans="3:19" x14ac:dyDescent="0.25">
      <c r="D89" s="192">
        <f>D88-0.005</f>
        <v>0.1066</v>
      </c>
      <c r="E89" s="133">
        <v>178.28069419538801</v>
      </c>
      <c r="F89" s="133">
        <v>188.61295918362018</v>
      </c>
      <c r="G89" s="133">
        <v>198.94522417185243</v>
      </c>
      <c r="H89" s="133">
        <v>209.2774891600846</v>
      </c>
      <c r="I89" s="133">
        <v>219.60975414831682</v>
      </c>
      <c r="J89" s="133">
        <v>229.94201913654902</v>
      </c>
      <c r="M89" s="192">
        <f>M88-0.005</f>
        <v>0.1066</v>
      </c>
      <c r="N89" s="115">
        <v>224.86098075342579</v>
      </c>
      <c r="O89" s="115">
        <v>238.0899257033908</v>
      </c>
      <c r="P89" s="115">
        <v>251.31887065335596</v>
      </c>
      <c r="Q89" s="115">
        <v>264.54781560332094</v>
      </c>
      <c r="R89" s="115">
        <v>277.77676055328607</v>
      </c>
      <c r="S89" s="115">
        <v>291.00570550325114</v>
      </c>
    </row>
    <row r="90" spans="3:19" x14ac:dyDescent="0.25">
      <c r="C90" s="105" t="s">
        <v>297</v>
      </c>
      <c r="D90" s="192">
        <f t="shared" ref="D90:D93" si="15">D89-0.005</f>
        <v>0.1016</v>
      </c>
      <c r="E90" s="133">
        <v>185.56646065796284</v>
      </c>
      <c r="F90" s="133">
        <v>196.34370572207914</v>
      </c>
      <c r="G90" s="133">
        <v>207.12095078619546</v>
      </c>
      <c r="H90" s="133">
        <v>217.89819585031179</v>
      </c>
      <c r="I90" s="133">
        <v>228.67544091442807</v>
      </c>
      <c r="J90" s="133">
        <v>239.45268597854442</v>
      </c>
      <c r="L90" s="105" t="s">
        <v>297</v>
      </c>
      <c r="M90" s="192">
        <f t="shared" ref="M90:M93" si="16">M89-0.005</f>
        <v>0.1016</v>
      </c>
      <c r="N90" s="115">
        <v>234.18933262607698</v>
      </c>
      <c r="O90" s="115">
        <v>247.98800908548421</v>
      </c>
      <c r="P90" s="115">
        <v>261.7866855448915</v>
      </c>
      <c r="Q90" s="115">
        <v>275.58536200429876</v>
      </c>
      <c r="R90" s="115">
        <v>289.38403846370596</v>
      </c>
      <c r="S90" s="115">
        <v>303.18271492311322</v>
      </c>
    </row>
    <row r="91" spans="3:19" x14ac:dyDescent="0.25">
      <c r="D91" s="192">
        <f t="shared" si="15"/>
        <v>9.6599999999999991E-2</v>
      </c>
      <c r="E91" s="133">
        <v>193.19573609793935</v>
      </c>
      <c r="F91" s="133">
        <v>204.43928172887752</v>
      </c>
      <c r="G91" s="133">
        <v>215.68282735981572</v>
      </c>
      <c r="H91" s="133">
        <v>226.92637299075386</v>
      </c>
      <c r="I91" s="133">
        <v>238.16991862169206</v>
      </c>
      <c r="J91" s="133">
        <v>249.41346425263023</v>
      </c>
      <c r="M91" s="192">
        <f t="shared" si="16"/>
        <v>9.6599999999999991E-2</v>
      </c>
      <c r="N91" s="115">
        <v>243.95749719778701</v>
      </c>
      <c r="O91" s="115">
        <v>258.35320291802424</v>
      </c>
      <c r="P91" s="115">
        <v>272.74890863826153</v>
      </c>
      <c r="Q91" s="115">
        <v>287.1446143584987</v>
      </c>
      <c r="R91" s="115">
        <v>301.54032007873599</v>
      </c>
      <c r="S91" s="115">
        <v>315.93602579897322</v>
      </c>
    </row>
    <row r="92" spans="3:19" x14ac:dyDescent="0.25">
      <c r="D92" s="192">
        <f t="shared" si="15"/>
        <v>9.1599999999999987E-2</v>
      </c>
      <c r="E92" s="133">
        <v>201.1864901735307</v>
      </c>
      <c r="F92" s="133">
        <v>212.9187826860946</v>
      </c>
      <c r="G92" s="133">
        <v>224.65107519865853</v>
      </c>
      <c r="H92" s="133">
        <v>236.38336771122238</v>
      </c>
      <c r="I92" s="133">
        <v>248.11566022378634</v>
      </c>
      <c r="J92" s="133">
        <v>259.84795273635024</v>
      </c>
      <c r="M92" s="192">
        <f t="shared" si="16"/>
        <v>9.1599999999999987E-2</v>
      </c>
      <c r="N92" s="115">
        <v>254.18848197170666</v>
      </c>
      <c r="O92" s="115">
        <v>269.20995615596007</v>
      </c>
      <c r="P92" s="115">
        <v>284.23143034021348</v>
      </c>
      <c r="Q92" s="115">
        <v>299.25290452446683</v>
      </c>
      <c r="R92" s="115">
        <v>314.27437870872023</v>
      </c>
      <c r="S92" s="115">
        <v>329.29585289297364</v>
      </c>
    </row>
    <row r="93" spans="3:19" x14ac:dyDescent="0.25">
      <c r="D93" s="192">
        <f t="shared" si="15"/>
        <v>8.6599999999999983E-2</v>
      </c>
      <c r="E93" s="133">
        <v>209.55772374504156</v>
      </c>
      <c r="F93" s="133">
        <v>221.80240028514871</v>
      </c>
      <c r="G93" s="133">
        <v>234.04707682525591</v>
      </c>
      <c r="H93" s="133">
        <v>246.29175336536304</v>
      </c>
      <c r="I93" s="133">
        <v>258.53642990547024</v>
      </c>
      <c r="J93" s="133">
        <v>270.78110644557739</v>
      </c>
      <c r="M93" s="192">
        <f t="shared" si="16"/>
        <v>8.6599999999999983E-2</v>
      </c>
      <c r="N93" s="115">
        <v>264.90661475352607</v>
      </c>
      <c r="O93" s="115">
        <v>280.58412128899494</v>
      </c>
      <c r="P93" s="115">
        <v>296.26162782446386</v>
      </c>
      <c r="Q93" s="115">
        <v>311.93913435993261</v>
      </c>
      <c r="R93" s="115">
        <v>327.61664089540153</v>
      </c>
      <c r="S93" s="115">
        <v>343.29414743087034</v>
      </c>
    </row>
  </sheetData>
  <dataValidations disablePrompts="1" count="1">
    <dataValidation type="list" allowBlank="1" showInputMessage="1" showErrorMessage="1" sqref="L7 K6" xr:uid="{3FAD3AC3-2972-410C-8F86-7967236A4926}">
      <formula1>"0,1"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E164-8912-4ACF-A42B-09BC98E4DAD2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026F-5013-49CF-BAEE-107DCC2D6EF1}">
  <dimension ref="B2:S263"/>
  <sheetViews>
    <sheetView showGridLines="0" topLeftCell="A243" zoomScale="79" workbookViewId="0">
      <selection activeCell="D259" sqref="D259"/>
    </sheetView>
  </sheetViews>
  <sheetFormatPr defaultRowHeight="15" x14ac:dyDescent="0.25"/>
  <cols>
    <col min="1" max="2" width="2.140625" style="1" customWidth="1"/>
    <col min="3" max="3" width="54.7109375" style="1" customWidth="1"/>
    <col min="4" max="4" width="18.85546875" style="1" customWidth="1"/>
    <col min="5" max="5" width="0.85546875" style="1" customWidth="1"/>
    <col min="6" max="6" width="18.85546875" style="1" customWidth="1"/>
    <col min="7" max="7" width="0.85546875" style="1" customWidth="1"/>
    <col min="8" max="8" width="18.85546875" style="1" customWidth="1"/>
    <col min="9" max="9" width="0.85546875" style="1" customWidth="1"/>
    <col min="10" max="10" width="18.85546875" style="1" customWidth="1"/>
    <col min="11" max="11" width="0.85546875" style="1" customWidth="1"/>
    <col min="12" max="12" width="18.85546875" style="1" customWidth="1"/>
    <col min="13" max="13" width="0.85546875" style="1" customWidth="1"/>
    <col min="14" max="14" width="18.85546875" style="1" customWidth="1"/>
    <col min="15" max="15" width="1.42578125" style="1" customWidth="1"/>
    <col min="20" max="16384" width="9.140625" style="1"/>
  </cols>
  <sheetData>
    <row r="2" spans="2:15" ht="17.25" x14ac:dyDescent="0.3">
      <c r="C2" s="20" t="s">
        <v>300</v>
      </c>
      <c r="D2" s="3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</row>
    <row r="3" spans="2:15" x14ac:dyDescent="0.25">
      <c r="C3" s="25" t="s">
        <v>15</v>
      </c>
      <c r="D3" s="32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5" spans="2:15" x14ac:dyDescent="0.25">
      <c r="C5" s="1" t="s">
        <v>301</v>
      </c>
      <c r="D5" s="139">
        <v>46093</v>
      </c>
    </row>
    <row r="6" spans="2:15" x14ac:dyDescent="0.25">
      <c r="C6" s="1" t="s">
        <v>302</v>
      </c>
      <c r="D6" s="139">
        <v>46022</v>
      </c>
    </row>
    <row r="8" spans="2:15" x14ac:dyDescent="0.25">
      <c r="B8" s="1" t="s">
        <v>33</v>
      </c>
      <c r="C8" s="6" t="s">
        <v>303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</row>
    <row r="10" spans="2:15" x14ac:dyDescent="0.25">
      <c r="C10" s="1" t="s">
        <v>3</v>
      </c>
      <c r="D10" s="153" t="s">
        <v>207</v>
      </c>
      <c r="E10" s="152"/>
      <c r="F10" s="153" t="s">
        <v>209</v>
      </c>
      <c r="G10" s="152"/>
      <c r="H10" s="153" t="s">
        <v>211</v>
      </c>
      <c r="I10" s="152"/>
      <c r="J10" s="153" t="s">
        <v>213</v>
      </c>
      <c r="K10" s="152"/>
      <c r="L10" s="153" t="s">
        <v>215</v>
      </c>
      <c r="M10" s="152"/>
      <c r="N10" s="153" t="s">
        <v>217</v>
      </c>
      <c r="O10" s="11"/>
    </row>
    <row r="11" spans="2:15" x14ac:dyDescent="0.25">
      <c r="C11" s="1" t="s">
        <v>304</v>
      </c>
      <c r="D11" s="84" t="s">
        <v>206</v>
      </c>
      <c r="F11" s="84" t="s">
        <v>208</v>
      </c>
      <c r="H11" s="84" t="s">
        <v>210</v>
      </c>
      <c r="J11" s="84" t="s">
        <v>212</v>
      </c>
      <c r="L11" s="84" t="s">
        <v>214</v>
      </c>
      <c r="N11" s="84" t="s">
        <v>216</v>
      </c>
    </row>
    <row r="12" spans="2:15" x14ac:dyDescent="0.25">
      <c r="C12" s="1" t="s">
        <v>305</v>
      </c>
      <c r="D12" s="151">
        <v>127.16</v>
      </c>
      <c r="E12" s="151"/>
      <c r="F12" s="151">
        <v>177.25</v>
      </c>
      <c r="G12" s="151"/>
      <c r="H12" s="151">
        <v>257.63</v>
      </c>
      <c r="I12" s="151"/>
      <c r="J12" s="151">
        <v>199.28</v>
      </c>
      <c r="K12" s="151"/>
      <c r="L12" s="151">
        <v>159.16</v>
      </c>
      <c r="M12" s="151"/>
      <c r="N12" s="151">
        <v>168.13</v>
      </c>
      <c r="O12" s="150"/>
    </row>
    <row r="13" spans="2:15" x14ac:dyDescent="0.25">
      <c r="C13" s="1" t="s">
        <v>307</v>
      </c>
      <c r="D13" s="147">
        <v>46022</v>
      </c>
      <c r="E13" s="68"/>
      <c r="F13" s="147">
        <v>45688</v>
      </c>
      <c r="G13" s="68"/>
      <c r="H13" s="147">
        <v>46022</v>
      </c>
      <c r="I13" s="68"/>
      <c r="J13" s="147">
        <v>46053</v>
      </c>
      <c r="K13" s="68"/>
      <c r="L13" s="147">
        <v>45808</v>
      </c>
      <c r="M13" s="68"/>
      <c r="N13" s="147">
        <v>45869</v>
      </c>
    </row>
    <row r="14" spans="2:15" x14ac:dyDescent="0.25">
      <c r="C14" s="1" t="s">
        <v>306</v>
      </c>
      <c r="D14" s="147">
        <v>46022</v>
      </c>
      <c r="E14" s="68"/>
      <c r="F14" s="147">
        <v>45961</v>
      </c>
      <c r="G14" s="68"/>
      <c r="H14" s="147">
        <v>46022</v>
      </c>
      <c r="I14" s="68"/>
      <c r="J14" s="147">
        <v>46053</v>
      </c>
      <c r="K14" s="68"/>
      <c r="L14" s="147">
        <v>46081</v>
      </c>
      <c r="M14" s="68"/>
      <c r="N14" s="147">
        <v>46053</v>
      </c>
    </row>
    <row r="17" spans="2:15" x14ac:dyDescent="0.25">
      <c r="B17" s="1" t="s">
        <v>33</v>
      </c>
      <c r="C17" s="6" t="s">
        <v>308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9" spans="2:15" x14ac:dyDescent="0.25">
      <c r="C19" s="1" t="s">
        <v>313</v>
      </c>
      <c r="D19" s="36">
        <v>352576.08100000001</v>
      </c>
      <c r="E19" s="36"/>
      <c r="F19" s="36">
        <v>342200</v>
      </c>
      <c r="G19" s="36"/>
      <c r="H19" s="36">
        <v>52740.536</v>
      </c>
      <c r="I19" s="36"/>
      <c r="J19" s="36">
        <v>923000</v>
      </c>
      <c r="K19" s="36"/>
      <c r="L19" s="36">
        <v>2876046</v>
      </c>
      <c r="M19" s="36"/>
      <c r="N19" s="36">
        <v>816000</v>
      </c>
      <c r="O19" s="36"/>
    </row>
    <row r="20" spans="2:15" x14ac:dyDescent="0.25">
      <c r="C20" s="1" t="s">
        <v>366</v>
      </c>
      <c r="D20" s="36">
        <v>16700.402999999998</v>
      </c>
      <c r="E20" s="36"/>
      <c r="F20" s="36">
        <v>24039</v>
      </c>
      <c r="G20" s="36"/>
      <c r="H20" s="36">
        <v>1471</v>
      </c>
      <c r="I20" s="36"/>
      <c r="J20" s="36">
        <v>22000</v>
      </c>
      <c r="K20" s="36"/>
      <c r="L20" s="36">
        <v>120000</v>
      </c>
      <c r="M20" s="36"/>
      <c r="N20" s="36">
        <v>22000</v>
      </c>
      <c r="O20" s="36"/>
    </row>
    <row r="21" spans="2:15" x14ac:dyDescent="0.25">
      <c r="C21" s="11" t="s">
        <v>317</v>
      </c>
      <c r="D21" s="39">
        <f>SUM(D19:D20)</f>
        <v>369276.484</v>
      </c>
      <c r="E21" s="39"/>
      <c r="F21" s="39">
        <f>SUM(F19:F20)</f>
        <v>366239</v>
      </c>
      <c r="G21" s="39"/>
      <c r="H21" s="39">
        <f>SUM(H19:H20)</f>
        <v>54211.536</v>
      </c>
      <c r="I21" s="39"/>
      <c r="J21" s="39">
        <f>SUM(J19:J20)</f>
        <v>945000</v>
      </c>
      <c r="K21" s="39"/>
      <c r="L21" s="39">
        <f>SUM(L19:L20)</f>
        <v>2996046</v>
      </c>
      <c r="M21" s="39"/>
      <c r="N21" s="39">
        <f>SUM(N19:N20)</f>
        <v>838000</v>
      </c>
      <c r="O21" s="39"/>
    </row>
    <row r="23" spans="2:15" x14ac:dyDescent="0.25">
      <c r="C23" s="1" t="s">
        <v>314</v>
      </c>
      <c r="D23" s="36">
        <v>3474.6190000000001</v>
      </c>
      <c r="E23" s="36"/>
      <c r="F23" s="36">
        <v>13695</v>
      </c>
      <c r="G23" s="36"/>
      <c r="H23" s="36">
        <v>174</v>
      </c>
      <c r="I23" s="36"/>
      <c r="J23" s="36">
        <v>6000</v>
      </c>
      <c r="K23" s="36"/>
      <c r="L23" s="36">
        <v>41000</v>
      </c>
      <c r="M23" s="36"/>
      <c r="N23" s="176">
        <v>0</v>
      </c>
      <c r="O23" s="36"/>
    </row>
    <row r="24" spans="2:15" x14ac:dyDescent="0.25">
      <c r="C24" s="1" t="s">
        <v>367</v>
      </c>
      <c r="D24" s="148">
        <v>7.26</v>
      </c>
      <c r="E24" s="148"/>
      <c r="F24" s="148">
        <v>18.829999999999998</v>
      </c>
      <c r="G24" s="148"/>
      <c r="H24" s="148">
        <v>286.89</v>
      </c>
      <c r="I24" s="148"/>
      <c r="J24" s="148">
        <v>207.54</v>
      </c>
      <c r="K24" s="148"/>
      <c r="L24" s="148">
        <v>52.58</v>
      </c>
      <c r="M24" s="148"/>
      <c r="N24" s="154">
        <v>0</v>
      </c>
      <c r="O24" s="148"/>
    </row>
    <row r="25" spans="2:15" x14ac:dyDescent="0.25">
      <c r="C25" s="1" t="s">
        <v>315</v>
      </c>
      <c r="D25" s="34">
        <f>IF(D24&lt;D12,D23,0)</f>
        <v>3474.6190000000001</v>
      </c>
      <c r="E25" s="34"/>
      <c r="F25" s="34">
        <f>IF(F24&lt;F12,F23,0)</f>
        <v>13695</v>
      </c>
      <c r="G25" s="34"/>
      <c r="H25" s="34">
        <f>IF(H24&lt;H12,H23,0)</f>
        <v>0</v>
      </c>
      <c r="I25" s="34"/>
      <c r="J25" s="34">
        <f>IF(J24&lt;J12,J23,0)</f>
        <v>0</v>
      </c>
      <c r="K25" s="34"/>
      <c r="L25" s="34">
        <f>IF(L24&lt;L12,L23,0)</f>
        <v>41000</v>
      </c>
      <c r="M25" s="34"/>
      <c r="N25" s="176">
        <f>IF(N24&lt;N12,N23,0)</f>
        <v>0</v>
      </c>
      <c r="O25" s="34"/>
    </row>
    <row r="26" spans="2:15" x14ac:dyDescent="0.25">
      <c r="C26" s="1" t="s">
        <v>316</v>
      </c>
      <c r="D26" s="34">
        <f>D25*D24</f>
        <v>25225.733940000002</v>
      </c>
      <c r="E26" s="34"/>
      <c r="F26" s="34">
        <f>F25*F24</f>
        <v>257876.84999999998</v>
      </c>
      <c r="G26" s="34"/>
      <c r="H26" s="34">
        <f>H25*H24</f>
        <v>0</v>
      </c>
      <c r="I26" s="34"/>
      <c r="J26" s="34">
        <f>J25*J24</f>
        <v>0</v>
      </c>
      <c r="K26" s="34"/>
      <c r="L26" s="34">
        <f>L25*L24</f>
        <v>2155780</v>
      </c>
      <c r="M26" s="34"/>
      <c r="N26" s="176">
        <f>N25*N24</f>
        <v>0</v>
      </c>
      <c r="O26" s="34"/>
    </row>
    <row r="27" spans="2:15" x14ac:dyDescent="0.25">
      <c r="C27" s="1" t="s">
        <v>164</v>
      </c>
      <c r="D27" s="34">
        <f>D26/D12</f>
        <v>198.37790138408306</v>
      </c>
      <c r="E27" s="34"/>
      <c r="F27" s="34">
        <f>F26/F12</f>
        <v>1454.8764456981662</v>
      </c>
      <c r="G27" s="34"/>
      <c r="H27" s="34">
        <f>H26/H12</f>
        <v>0</v>
      </c>
      <c r="I27" s="34"/>
      <c r="J27" s="34">
        <f>J26/J12</f>
        <v>0</v>
      </c>
      <c r="K27" s="34"/>
      <c r="L27" s="34">
        <f>L26/L12</f>
        <v>13544.734858004524</v>
      </c>
      <c r="M27" s="34"/>
      <c r="N27" s="176">
        <f>N26/N12</f>
        <v>0</v>
      </c>
      <c r="O27" s="34"/>
    </row>
    <row r="28" spans="2:15" x14ac:dyDescent="0.25">
      <c r="C28" s="11" t="s">
        <v>318</v>
      </c>
      <c r="D28" s="39">
        <f>D25-D27</f>
        <v>3276.2410986159171</v>
      </c>
      <c r="E28" s="39"/>
      <c r="F28" s="39">
        <f>F25-F27</f>
        <v>12240.123554301834</v>
      </c>
      <c r="G28" s="39"/>
      <c r="H28" s="39">
        <f>H25-H27</f>
        <v>0</v>
      </c>
      <c r="I28" s="39"/>
      <c r="J28" s="39">
        <f>J25-J27</f>
        <v>0</v>
      </c>
      <c r="K28" s="39"/>
      <c r="L28" s="39">
        <f>L25-L27</f>
        <v>27455.265141995478</v>
      </c>
      <c r="M28" s="39"/>
      <c r="N28" s="177">
        <f>N25-N27</f>
        <v>0</v>
      </c>
      <c r="O28" s="34"/>
    </row>
    <row r="30" spans="2:15" x14ac:dyDescent="0.25">
      <c r="C30" s="1" t="s">
        <v>368</v>
      </c>
      <c r="D30" s="36">
        <v>983449</v>
      </c>
      <c r="E30" s="36"/>
      <c r="F30" s="36">
        <v>2277749</v>
      </c>
      <c r="G30" s="36"/>
      <c r="H30" s="36">
        <v>0</v>
      </c>
      <c r="I30" s="36"/>
      <c r="J30" s="176">
        <v>0</v>
      </c>
      <c r="K30" s="176"/>
      <c r="L30" s="176">
        <v>0</v>
      </c>
      <c r="M30" s="176"/>
      <c r="N30" s="176">
        <v>0</v>
      </c>
      <c r="O30" s="36"/>
    </row>
    <row r="31" spans="2:15" x14ac:dyDescent="0.25">
      <c r="C31" s="1" t="s">
        <v>369</v>
      </c>
      <c r="D31" s="149">
        <v>4.5955000000000004</v>
      </c>
      <c r="E31" s="149"/>
      <c r="F31" s="149">
        <v>6.3491999999999997</v>
      </c>
      <c r="G31" s="149"/>
      <c r="H31" s="149">
        <v>3.5396000000000001</v>
      </c>
      <c r="I31" s="149"/>
      <c r="J31" s="176">
        <v>0</v>
      </c>
      <c r="K31" s="176"/>
      <c r="L31" s="176">
        <v>0</v>
      </c>
      <c r="M31" s="176"/>
      <c r="N31" s="176">
        <v>0</v>
      </c>
      <c r="O31" s="149"/>
    </row>
    <row r="32" spans="2:15" x14ac:dyDescent="0.25">
      <c r="C32" s="1" t="s">
        <v>370</v>
      </c>
      <c r="D32" s="133">
        <f>D30/D33</f>
        <v>217.60417800021759</v>
      </c>
      <c r="E32" s="133"/>
      <c r="F32" s="133">
        <f>F30/F33</f>
        <v>157.50015750015748</v>
      </c>
      <c r="G32" s="133"/>
      <c r="H32" s="133">
        <v>0</v>
      </c>
      <c r="I32" s="133"/>
      <c r="J32" s="154">
        <v>0</v>
      </c>
      <c r="K32" s="154"/>
      <c r="L32" s="154">
        <v>0</v>
      </c>
      <c r="M32" s="154"/>
      <c r="N32" s="154">
        <v>0</v>
      </c>
      <c r="O32" s="133"/>
    </row>
    <row r="33" spans="2:15" x14ac:dyDescent="0.25">
      <c r="C33" s="1" t="s">
        <v>373</v>
      </c>
      <c r="D33" s="34">
        <f>D30*D31/1000</f>
        <v>4519.4398795000006</v>
      </c>
      <c r="E33" s="34"/>
      <c r="F33" s="34">
        <f>F30*F31/1000</f>
        <v>14461.8839508</v>
      </c>
      <c r="G33" s="34"/>
      <c r="H33" s="34">
        <v>0</v>
      </c>
      <c r="I33" s="34"/>
      <c r="J33" s="176">
        <v>0</v>
      </c>
      <c r="K33" s="176"/>
      <c r="L33" s="176">
        <v>0</v>
      </c>
      <c r="M33" s="176"/>
      <c r="N33" s="176">
        <v>0</v>
      </c>
      <c r="O33" s="34"/>
    </row>
    <row r="34" spans="2:15" x14ac:dyDescent="0.25">
      <c r="C34" s="11" t="s">
        <v>319</v>
      </c>
      <c r="D34" s="39">
        <f>IF(D32&lt;D12,D33,0)</f>
        <v>0</v>
      </c>
      <c r="E34" s="39"/>
      <c r="F34" s="39">
        <f>IF(F32&lt;F12,F33,0)</f>
        <v>14461.8839508</v>
      </c>
      <c r="G34" s="39"/>
      <c r="H34" s="39">
        <f>IF(H32&lt;H12,H33,0)</f>
        <v>0</v>
      </c>
      <c r="I34" s="39"/>
      <c r="J34" s="177">
        <f>IF(J32&lt;J12,J33,0)</f>
        <v>0</v>
      </c>
      <c r="K34" s="177"/>
      <c r="L34" s="177">
        <f>IF(L32&lt;L12,L33,0)</f>
        <v>0</v>
      </c>
      <c r="M34" s="177"/>
      <c r="N34" s="177">
        <f>IF(N32&lt;N12,N33,0)</f>
        <v>0</v>
      </c>
      <c r="O34" s="34"/>
    </row>
    <row r="35" spans="2:15" x14ac:dyDescent="0.25">
      <c r="C35" s="11"/>
    </row>
    <row r="36" spans="2:15" x14ac:dyDescent="0.25">
      <c r="C36" s="1" t="s">
        <v>371</v>
      </c>
      <c r="D36" s="176">
        <v>0</v>
      </c>
      <c r="E36" s="176"/>
      <c r="F36" s="176">
        <v>0</v>
      </c>
      <c r="G36" s="176"/>
      <c r="H36" s="176">
        <v>0</v>
      </c>
      <c r="I36" s="176"/>
      <c r="J36" s="176">
        <v>0</v>
      </c>
      <c r="K36" s="34"/>
      <c r="L36" s="34">
        <v>4954000</v>
      </c>
      <c r="M36" s="34"/>
      <c r="N36" s="176">
        <v>0</v>
      </c>
      <c r="O36" s="34"/>
    </row>
    <row r="37" spans="2:15" x14ac:dyDescent="0.25">
      <c r="C37" s="1" t="s">
        <v>372</v>
      </c>
      <c r="D37" s="176">
        <v>0</v>
      </c>
      <c r="E37" s="176"/>
      <c r="F37" s="176">
        <v>0</v>
      </c>
      <c r="G37" s="176"/>
      <c r="H37" s="176">
        <v>0</v>
      </c>
      <c r="I37" s="176"/>
      <c r="J37" s="176">
        <v>0</v>
      </c>
      <c r="K37" s="34"/>
      <c r="L37" s="34">
        <v>50000</v>
      </c>
      <c r="M37" s="34"/>
      <c r="N37" s="176">
        <v>0</v>
      </c>
      <c r="O37" s="34"/>
    </row>
    <row r="38" spans="2:15" x14ac:dyDescent="0.25">
      <c r="C38" s="1" t="s">
        <v>369</v>
      </c>
      <c r="D38" s="176">
        <v>0</v>
      </c>
      <c r="E38" s="176"/>
      <c r="F38" s="176">
        <v>0</v>
      </c>
      <c r="G38" s="176"/>
      <c r="H38" s="176">
        <v>0</v>
      </c>
      <c r="I38" s="176"/>
      <c r="J38" s="176">
        <v>0</v>
      </c>
      <c r="K38" s="72"/>
      <c r="L38" s="72">
        <v>499.81259999999997</v>
      </c>
      <c r="M38" s="72"/>
      <c r="N38" s="176">
        <v>0</v>
      </c>
      <c r="O38" s="72"/>
    </row>
    <row r="39" spans="2:15" x14ac:dyDescent="0.25">
      <c r="C39" s="1" t="s">
        <v>373</v>
      </c>
      <c r="D39" s="176">
        <v>0</v>
      </c>
      <c r="E39" s="176"/>
      <c r="F39" s="176">
        <v>0</v>
      </c>
      <c r="G39" s="176"/>
      <c r="H39" s="176">
        <v>0</v>
      </c>
      <c r="I39" s="176"/>
      <c r="J39" s="176">
        <v>0</v>
      </c>
      <c r="K39" s="34"/>
      <c r="L39" s="34">
        <f>L37*L38</f>
        <v>24990630</v>
      </c>
      <c r="M39" s="34"/>
      <c r="N39" s="176">
        <v>0</v>
      </c>
      <c r="O39" s="34"/>
    </row>
    <row r="40" spans="2:15" x14ac:dyDescent="0.25">
      <c r="C40" s="1" t="s">
        <v>370</v>
      </c>
      <c r="D40" s="154">
        <v>0</v>
      </c>
      <c r="E40" s="154"/>
      <c r="F40" s="154">
        <v>0</v>
      </c>
      <c r="G40" s="154"/>
      <c r="H40" s="154">
        <v>0</v>
      </c>
      <c r="I40" s="154"/>
      <c r="J40" s="154">
        <v>0</v>
      </c>
      <c r="K40" s="133"/>
      <c r="L40" s="133">
        <v>0</v>
      </c>
      <c r="M40" s="133"/>
      <c r="N40" s="154">
        <v>0</v>
      </c>
      <c r="O40" s="133"/>
    </row>
    <row r="41" spans="2:15" x14ac:dyDescent="0.25">
      <c r="C41" s="11" t="s">
        <v>320</v>
      </c>
      <c r="D41" s="176">
        <v>0</v>
      </c>
      <c r="E41" s="176"/>
      <c r="F41" s="176">
        <v>0</v>
      </c>
      <c r="G41" s="176"/>
      <c r="H41" s="176">
        <v>0</v>
      </c>
      <c r="I41" s="176"/>
      <c r="J41" s="176">
        <v>0</v>
      </c>
      <c r="K41" s="34"/>
      <c r="L41" s="39">
        <v>0</v>
      </c>
      <c r="M41" s="34"/>
      <c r="N41" s="176">
        <v>0</v>
      </c>
      <c r="O41" s="34"/>
    </row>
    <row r="43" spans="2:15" x14ac:dyDescent="0.25">
      <c r="C43" s="11" t="s">
        <v>321</v>
      </c>
      <c r="D43" s="39">
        <f>D21+D28+D34</f>
        <v>372552.72509861592</v>
      </c>
      <c r="E43" s="39"/>
      <c r="F43" s="39">
        <f>F21+F28+F34</f>
        <v>392941.00750510185</v>
      </c>
      <c r="G43" s="39"/>
      <c r="H43" s="39">
        <f>H21+H28+H34</f>
        <v>54211.536</v>
      </c>
      <c r="I43" s="39"/>
      <c r="J43" s="39">
        <f>J21+J28+J34</f>
        <v>945000</v>
      </c>
      <c r="K43" s="39"/>
      <c r="L43" s="39">
        <f>L21+L28+L34</f>
        <v>3023501.2651419956</v>
      </c>
      <c r="M43" s="39"/>
      <c r="N43" s="39">
        <f>N21+N28+N34</f>
        <v>838000</v>
      </c>
      <c r="O43" s="11"/>
    </row>
    <row r="46" spans="2:15" x14ac:dyDescent="0.25">
      <c r="B46" s="1" t="s">
        <v>33</v>
      </c>
      <c r="C46" s="6" t="s">
        <v>309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"/>
    </row>
    <row r="48" spans="2:15" x14ac:dyDescent="0.25">
      <c r="C48" s="1" t="s">
        <v>322</v>
      </c>
      <c r="D48" s="36">
        <v>401305</v>
      </c>
      <c r="E48" s="36"/>
      <c r="F48" s="36">
        <v>1941657</v>
      </c>
      <c r="G48" s="36"/>
      <c r="H48" s="36">
        <v>882242</v>
      </c>
      <c r="I48" s="36"/>
      <c r="J48" s="36">
        <v>7327000</v>
      </c>
      <c r="K48" s="36"/>
      <c r="L48" s="36">
        <v>38455000</v>
      </c>
      <c r="M48" s="36"/>
      <c r="N48" s="36">
        <v>4158000</v>
      </c>
      <c r="O48" s="36"/>
    </row>
    <row r="49" spans="3:15" x14ac:dyDescent="0.25">
      <c r="C49" s="1" t="s">
        <v>390</v>
      </c>
      <c r="D49" s="36">
        <v>4073531</v>
      </c>
      <c r="E49" s="36"/>
      <c r="F49" s="36">
        <v>1411448</v>
      </c>
      <c r="G49" s="36"/>
      <c r="H49" s="36">
        <v>958214</v>
      </c>
      <c r="I49" s="36"/>
      <c r="J49" s="36">
        <v>2238000</v>
      </c>
      <c r="K49" s="36"/>
      <c r="L49" s="36">
        <v>677000</v>
      </c>
      <c r="M49" s="36"/>
      <c r="N49" s="36">
        <v>378000</v>
      </c>
      <c r="O49" s="36"/>
    </row>
    <row r="50" spans="3:15" x14ac:dyDescent="0.25">
      <c r="C50" s="11" t="s">
        <v>323</v>
      </c>
      <c r="D50" s="39">
        <f>SUM(D48:D49)</f>
        <v>4474836</v>
      </c>
      <c r="E50" s="34"/>
      <c r="F50" s="39">
        <f>SUM(F48:F49)</f>
        <v>3353105</v>
      </c>
      <c r="G50" s="39"/>
      <c r="H50" s="39">
        <f>SUM(H48:H49)</f>
        <v>1840456</v>
      </c>
      <c r="I50" s="34"/>
      <c r="J50" s="39">
        <f>SUM(J48:J49)</f>
        <v>9565000</v>
      </c>
      <c r="K50" s="34"/>
      <c r="L50" s="39">
        <f>SUM(L48:L49)</f>
        <v>39132000</v>
      </c>
      <c r="M50" s="34"/>
      <c r="N50" s="39">
        <f>SUM(N48:N49)</f>
        <v>4536000</v>
      </c>
      <c r="O50" s="34"/>
    </row>
    <row r="51" spans="3:15" x14ac:dyDescent="0.25">
      <c r="C51" s="1" t="s">
        <v>324</v>
      </c>
      <c r="D51" s="36">
        <v>741262</v>
      </c>
      <c r="E51" s="34"/>
      <c r="F51" s="36">
        <v>938145</v>
      </c>
      <c r="G51" s="36"/>
      <c r="H51" s="36">
        <v>419146</v>
      </c>
      <c r="I51" s="36"/>
      <c r="J51" s="36">
        <v>14339000</v>
      </c>
      <c r="K51" s="36"/>
      <c r="L51" s="36">
        <v>10719000</v>
      </c>
      <c r="M51" s="36"/>
      <c r="N51" s="36">
        <v>2116000</v>
      </c>
      <c r="O51" s="36"/>
    </row>
    <row r="52" spans="3:15" x14ac:dyDescent="0.25">
      <c r="C52" s="1" t="s">
        <v>374</v>
      </c>
      <c r="D52" s="36">
        <v>90160</v>
      </c>
      <c r="E52" s="34"/>
      <c r="F52" s="36">
        <v>164319</v>
      </c>
      <c r="G52" s="36"/>
      <c r="H52" s="36">
        <v>100611</v>
      </c>
      <c r="I52" s="36"/>
      <c r="J52" s="36">
        <v>2243000</v>
      </c>
      <c r="K52" s="36"/>
      <c r="L52" s="36">
        <v>5023000</v>
      </c>
      <c r="M52" s="36"/>
      <c r="N52" s="36">
        <v>621000</v>
      </c>
      <c r="O52" s="36"/>
    </row>
    <row r="53" spans="3:15" x14ac:dyDescent="0.25">
      <c r="C53" s="1" t="s">
        <v>325</v>
      </c>
      <c r="D53" s="36">
        <v>545536</v>
      </c>
      <c r="E53" s="34"/>
      <c r="F53" s="36">
        <v>1431540</v>
      </c>
      <c r="G53" s="36"/>
      <c r="H53" s="36">
        <v>326677</v>
      </c>
      <c r="I53" s="36"/>
      <c r="J53" s="36">
        <v>64756000</v>
      </c>
      <c r="K53" s="36"/>
      <c r="L53" s="36">
        <v>65915000</v>
      </c>
      <c r="M53" s="36"/>
      <c r="N53" s="36">
        <v>8180000</v>
      </c>
      <c r="O53" s="36"/>
    </row>
    <row r="54" spans="3:15" x14ac:dyDescent="0.25">
      <c r="C54" s="1" t="s">
        <v>375</v>
      </c>
      <c r="D54" s="36">
        <v>214674</v>
      </c>
      <c r="E54" s="34"/>
      <c r="F54" s="36">
        <v>254641</v>
      </c>
      <c r="G54" s="36"/>
      <c r="H54" s="36">
        <v>200821</v>
      </c>
      <c r="I54" s="36"/>
      <c r="J54" s="36">
        <v>2003000</v>
      </c>
      <c r="K54" s="36"/>
      <c r="L54" s="36">
        <v>20817000</v>
      </c>
      <c r="M54" s="36"/>
      <c r="N54" s="36">
        <v>368000</v>
      </c>
      <c r="O54" s="36"/>
    </row>
    <row r="55" spans="3:15" x14ac:dyDescent="0.25">
      <c r="C55" s="1" t="s">
        <v>326</v>
      </c>
      <c r="D55" s="36"/>
      <c r="E55" s="34"/>
      <c r="F55" s="36"/>
      <c r="G55" s="36"/>
      <c r="H55" s="36"/>
      <c r="I55" s="36"/>
      <c r="J55" s="36">
        <v>7591000</v>
      </c>
      <c r="K55" s="36"/>
      <c r="L55" s="36"/>
      <c r="M55" s="36"/>
      <c r="N55" s="36"/>
      <c r="O55" s="36"/>
    </row>
    <row r="56" spans="3:15" x14ac:dyDescent="0.25">
      <c r="C56" s="1" t="s">
        <v>327</v>
      </c>
      <c r="D56" s="36">
        <v>338093</v>
      </c>
      <c r="E56" s="34"/>
      <c r="F56" s="36">
        <v>265844</v>
      </c>
      <c r="G56" s="36"/>
      <c r="H56" s="36">
        <v>141869</v>
      </c>
      <c r="I56" s="36"/>
      <c r="J56" s="36">
        <v>3120000</v>
      </c>
      <c r="K56" s="36"/>
      <c r="L56" s="36">
        <v>83617000</v>
      </c>
      <c r="M56" s="36"/>
      <c r="N56" s="36">
        <v>485000</v>
      </c>
      <c r="O56" s="36"/>
    </row>
    <row r="57" spans="3:15" x14ac:dyDescent="0.25">
      <c r="C57" s="1" t="s">
        <v>45</v>
      </c>
      <c r="D57" s="36">
        <v>36553</v>
      </c>
      <c r="E57" s="34"/>
      <c r="F57" s="36">
        <v>403686</v>
      </c>
      <c r="G57" s="36"/>
      <c r="H57" s="36">
        <v>165602</v>
      </c>
      <c r="I57" s="36"/>
      <c r="J57" s="36">
        <v>3628000</v>
      </c>
      <c r="K57" s="36"/>
      <c r="L57" s="36">
        <v>8657000</v>
      </c>
      <c r="M57" s="36"/>
      <c r="N57" s="36">
        <v>427000</v>
      </c>
      <c r="O57" s="36"/>
    </row>
    <row r="58" spans="3:15" x14ac:dyDescent="0.25">
      <c r="C58" s="1" t="s">
        <v>391</v>
      </c>
      <c r="D58" s="36"/>
      <c r="E58" s="34"/>
      <c r="F58" s="36">
        <v>919484</v>
      </c>
      <c r="G58" s="36"/>
      <c r="H58" s="36">
        <v>191625</v>
      </c>
      <c r="I58" s="36"/>
      <c r="J58" s="36">
        <v>8253000</v>
      </c>
      <c r="K58" s="36"/>
      <c r="L58" s="36">
        <v>11414000</v>
      </c>
      <c r="M58" s="36"/>
      <c r="N58" s="36">
        <v>1199000</v>
      </c>
      <c r="O58" s="36"/>
    </row>
    <row r="59" spans="3:15" x14ac:dyDescent="0.25"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</row>
    <row r="60" spans="3:15" x14ac:dyDescent="0.25">
      <c r="C60" s="1" t="s">
        <v>328</v>
      </c>
      <c r="D60" s="36">
        <v>0</v>
      </c>
      <c r="E60" s="36"/>
      <c r="F60" s="36">
        <v>0</v>
      </c>
      <c r="G60" s="36"/>
      <c r="H60" s="36">
        <v>0</v>
      </c>
      <c r="I60" s="34"/>
      <c r="J60" s="36">
        <v>0</v>
      </c>
      <c r="K60" s="36"/>
      <c r="L60" s="36">
        <v>9887000</v>
      </c>
      <c r="M60" s="36"/>
      <c r="N60" s="36">
        <v>0</v>
      </c>
      <c r="O60" s="34"/>
    </row>
    <row r="61" spans="3:15" x14ac:dyDescent="0.25">
      <c r="C61" s="1" t="s">
        <v>329</v>
      </c>
      <c r="D61" s="36">
        <v>0</v>
      </c>
      <c r="E61" s="36"/>
      <c r="F61" s="36">
        <v>0</v>
      </c>
      <c r="G61" s="36"/>
      <c r="H61" s="36">
        <v>0</v>
      </c>
      <c r="I61" s="34"/>
      <c r="J61" s="36">
        <v>4000000</v>
      </c>
      <c r="K61" s="36"/>
      <c r="L61" s="36">
        <v>0</v>
      </c>
      <c r="M61" s="36"/>
      <c r="N61" s="36">
        <v>0</v>
      </c>
      <c r="O61" s="34"/>
    </row>
    <row r="62" spans="3:15" x14ac:dyDescent="0.25">
      <c r="C62" s="1" t="s">
        <v>330</v>
      </c>
      <c r="D62" s="36">
        <v>0</v>
      </c>
      <c r="E62" s="36"/>
      <c r="F62" s="36">
        <v>0</v>
      </c>
      <c r="G62" s="36"/>
      <c r="H62" s="36">
        <v>0</v>
      </c>
      <c r="I62" s="34"/>
      <c r="J62" s="36">
        <v>0</v>
      </c>
      <c r="K62" s="36"/>
      <c r="L62" s="36">
        <v>0</v>
      </c>
      <c r="M62" s="36"/>
      <c r="N62" s="36">
        <v>0</v>
      </c>
      <c r="O62" s="34"/>
    </row>
    <row r="63" spans="3:15" x14ac:dyDescent="0.25">
      <c r="C63" s="11" t="s">
        <v>331</v>
      </c>
      <c r="D63" s="39">
        <f>SUM(D60:D62)</f>
        <v>0</v>
      </c>
      <c r="E63" s="39"/>
      <c r="F63" s="39">
        <f>SUM(F60:F62)</f>
        <v>0</v>
      </c>
      <c r="G63" s="39"/>
      <c r="H63" s="39">
        <f>SUM(H60:H62)</f>
        <v>0</v>
      </c>
      <c r="I63" s="39"/>
      <c r="J63" s="39">
        <f>SUM(J60:J62)</f>
        <v>4000000</v>
      </c>
      <c r="K63" s="39"/>
      <c r="L63" s="39">
        <f>SUM(L60:L62)</f>
        <v>9887000</v>
      </c>
      <c r="M63" s="39"/>
      <c r="N63" s="39">
        <f>SUM(N60:N62)</f>
        <v>0</v>
      </c>
      <c r="O63" s="39"/>
    </row>
    <row r="64" spans="3:15" x14ac:dyDescent="0.25">
      <c r="C64" s="1" t="s">
        <v>332</v>
      </c>
      <c r="D64" s="34">
        <f>IF(D34&gt;0,0,D30)</f>
        <v>983449</v>
      </c>
      <c r="E64" s="34"/>
      <c r="F64" s="34">
        <f>IF(F34&gt;0,0,F30)</f>
        <v>0</v>
      </c>
      <c r="G64" s="34"/>
      <c r="H64" s="36">
        <v>0</v>
      </c>
      <c r="I64" s="36"/>
      <c r="J64" s="36">
        <v>10439000</v>
      </c>
      <c r="K64" s="36"/>
      <c r="L64" s="36">
        <v>0</v>
      </c>
      <c r="M64" s="36"/>
      <c r="N64" s="36">
        <v>0</v>
      </c>
      <c r="O64" s="34"/>
    </row>
    <row r="65" spans="2:15" x14ac:dyDescent="0.25">
      <c r="C65" s="1" t="s">
        <v>333</v>
      </c>
      <c r="D65" s="36">
        <v>0</v>
      </c>
      <c r="E65" s="36"/>
      <c r="F65" s="36">
        <v>0</v>
      </c>
      <c r="G65" s="34"/>
      <c r="H65" s="36">
        <v>0</v>
      </c>
      <c r="I65" s="36"/>
      <c r="J65" s="36">
        <v>0</v>
      </c>
      <c r="K65" s="36"/>
      <c r="L65" s="36">
        <v>124718000</v>
      </c>
      <c r="M65" s="36"/>
      <c r="N65" s="36">
        <v>0</v>
      </c>
      <c r="O65" s="34"/>
    </row>
    <row r="66" spans="2:15" x14ac:dyDescent="0.25">
      <c r="C66" s="11" t="s">
        <v>334</v>
      </c>
      <c r="D66" s="39">
        <f>SUM(D64:D65)</f>
        <v>983449</v>
      </c>
      <c r="E66" s="39"/>
      <c r="F66" s="39">
        <f>SUM(F64:F65)</f>
        <v>0</v>
      </c>
      <c r="G66" s="39"/>
      <c r="H66" s="39">
        <f>SUM(H64:H65)</f>
        <v>0</v>
      </c>
      <c r="I66" s="39"/>
      <c r="J66" s="39">
        <f>SUM(J64:J65)</f>
        <v>10439000</v>
      </c>
      <c r="K66" s="39"/>
      <c r="L66" s="39">
        <f>SUM(L64:L65)</f>
        <v>124718000</v>
      </c>
      <c r="M66" s="39"/>
      <c r="N66" s="39">
        <f>SUM(N64:N65)</f>
        <v>0</v>
      </c>
      <c r="O66" s="39"/>
    </row>
    <row r="67" spans="2:15" x14ac:dyDescent="0.25"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</row>
    <row r="68" spans="2:15" x14ac:dyDescent="0.25">
      <c r="C68" s="1" t="s">
        <v>335</v>
      </c>
      <c r="D68" s="36">
        <v>0</v>
      </c>
      <c r="E68" s="36"/>
      <c r="F68" s="36">
        <v>0</v>
      </c>
      <c r="G68" s="36"/>
      <c r="H68" s="36">
        <v>0</v>
      </c>
      <c r="I68" s="36"/>
      <c r="J68" s="36">
        <v>0</v>
      </c>
      <c r="K68" s="34"/>
      <c r="L68" s="36">
        <v>556000</v>
      </c>
      <c r="M68" s="36"/>
      <c r="N68" s="36">
        <v>0</v>
      </c>
      <c r="O68" s="34"/>
    </row>
    <row r="69" spans="2:15" x14ac:dyDescent="0.25">
      <c r="C69" s="1" t="s">
        <v>336</v>
      </c>
      <c r="D69" s="36">
        <v>0</v>
      </c>
      <c r="E69" s="36"/>
      <c r="F69" s="36">
        <v>0</v>
      </c>
      <c r="G69" s="36"/>
      <c r="H69" s="36">
        <v>0</v>
      </c>
      <c r="I69" s="36"/>
      <c r="J69" s="36">
        <v>0</v>
      </c>
      <c r="K69" s="34"/>
      <c r="L69" s="36">
        <v>4954000</v>
      </c>
      <c r="M69" s="36"/>
      <c r="N69" s="36">
        <v>0</v>
      </c>
      <c r="O69" s="34"/>
    </row>
    <row r="70" spans="2:15" x14ac:dyDescent="0.25">
      <c r="C70" s="11" t="s">
        <v>337</v>
      </c>
      <c r="D70" s="39">
        <v>3732206</v>
      </c>
      <c r="E70" s="34"/>
      <c r="F70" s="39">
        <v>2132933</v>
      </c>
      <c r="G70" s="39"/>
      <c r="H70" s="39">
        <v>2066244</v>
      </c>
      <c r="I70" s="39"/>
      <c r="J70" s="39">
        <v>59142000</v>
      </c>
      <c r="K70" s="39"/>
      <c r="L70" s="39">
        <v>39051000</v>
      </c>
      <c r="M70" s="39"/>
      <c r="N70" s="39">
        <v>9393000</v>
      </c>
      <c r="O70" s="34"/>
    </row>
    <row r="73" spans="2:15" x14ac:dyDescent="0.25">
      <c r="B73" s="1" t="s">
        <v>33</v>
      </c>
      <c r="C73" s="6" t="s">
        <v>310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</row>
    <row r="75" spans="2:15" x14ac:dyDescent="0.25">
      <c r="C75" s="1" t="s">
        <v>338</v>
      </c>
      <c r="D75" s="133">
        <f>D12</f>
        <v>127.16</v>
      </c>
      <c r="E75" s="133"/>
      <c r="F75" s="133">
        <f>F12</f>
        <v>177.25</v>
      </c>
      <c r="G75" s="133"/>
      <c r="H75" s="133">
        <f>H12</f>
        <v>257.63</v>
      </c>
      <c r="I75" s="133"/>
      <c r="J75" s="133">
        <f>J12</f>
        <v>199.28</v>
      </c>
      <c r="K75" s="133"/>
      <c r="L75" s="133">
        <f>L12</f>
        <v>159.16</v>
      </c>
      <c r="M75" s="133"/>
      <c r="N75" s="133">
        <f>N12</f>
        <v>168.13</v>
      </c>
      <c r="O75" s="133"/>
    </row>
    <row r="76" spans="2:15" x14ac:dyDescent="0.25">
      <c r="C76" s="1" t="s">
        <v>321</v>
      </c>
      <c r="D76" s="34">
        <f>D43</f>
        <v>372552.72509861592</v>
      </c>
      <c r="E76" s="34"/>
      <c r="F76" s="34">
        <f>F43</f>
        <v>392941.00750510185</v>
      </c>
      <c r="G76" s="34"/>
      <c r="H76" s="34">
        <f>H43</f>
        <v>54211.536</v>
      </c>
      <c r="I76" s="34"/>
      <c r="J76" s="34">
        <f>J43</f>
        <v>945000</v>
      </c>
      <c r="K76" s="34"/>
      <c r="L76" s="34">
        <f>L43</f>
        <v>3023501.2651419956</v>
      </c>
      <c r="M76" s="34"/>
      <c r="N76" s="34">
        <f>N43</f>
        <v>838000</v>
      </c>
      <c r="O76" s="34"/>
    </row>
    <row r="77" spans="2:15" x14ac:dyDescent="0.25">
      <c r="C77" s="11" t="s">
        <v>339</v>
      </c>
      <c r="D77" s="39">
        <f>D75*D76</f>
        <v>47373804.523539998</v>
      </c>
      <c r="E77" s="39"/>
      <c r="F77" s="39">
        <f>F75*F76</f>
        <v>69648793.580279306</v>
      </c>
      <c r="G77" s="39"/>
      <c r="H77" s="39">
        <f>H75*H76</f>
        <v>13966518.019679999</v>
      </c>
      <c r="I77" s="39"/>
      <c r="J77" s="39">
        <f>J75*J76</f>
        <v>188319600</v>
      </c>
      <c r="K77" s="39"/>
      <c r="L77" s="39">
        <f>L75*L76</f>
        <v>481220461.36000001</v>
      </c>
      <c r="M77" s="39"/>
      <c r="N77" s="39">
        <f>N75*N76</f>
        <v>140892940</v>
      </c>
      <c r="O77" s="34"/>
    </row>
    <row r="79" spans="2:15" x14ac:dyDescent="0.25">
      <c r="C79" s="1" t="s">
        <v>419</v>
      </c>
      <c r="D79" s="34">
        <f>D63+D66</f>
        <v>983449</v>
      </c>
      <c r="E79" s="34"/>
      <c r="F79" s="34">
        <f>F63+F66</f>
        <v>0</v>
      </c>
      <c r="G79" s="34"/>
      <c r="H79" s="34">
        <f>H63+H66</f>
        <v>0</v>
      </c>
      <c r="I79" s="34"/>
      <c r="J79" s="34">
        <f>J63+J66</f>
        <v>14439000</v>
      </c>
      <c r="K79" s="34"/>
      <c r="L79" s="34">
        <f>L63+L66</f>
        <v>134605000</v>
      </c>
      <c r="M79" s="34"/>
      <c r="N79" s="34">
        <f>N63+N66</f>
        <v>0</v>
      </c>
    </row>
    <row r="80" spans="2:15" x14ac:dyDescent="0.25">
      <c r="C80" s="1" t="s">
        <v>340</v>
      </c>
      <c r="D80" s="34">
        <f>D68</f>
        <v>0</v>
      </c>
      <c r="E80" s="34"/>
      <c r="F80" s="34">
        <f>F68</f>
        <v>0</v>
      </c>
      <c r="G80" s="34"/>
      <c r="H80" s="34">
        <f>H68</f>
        <v>0</v>
      </c>
      <c r="I80" s="34"/>
      <c r="J80" s="34">
        <f>J68</f>
        <v>0</v>
      </c>
      <c r="K80" s="34"/>
      <c r="L80" s="34">
        <f>L68</f>
        <v>556000</v>
      </c>
      <c r="M80" s="34"/>
      <c r="N80" s="34">
        <f>N68</f>
        <v>0</v>
      </c>
      <c r="O80" s="34"/>
    </row>
    <row r="81" spans="2:15" x14ac:dyDescent="0.25">
      <c r="C81" s="1" t="s">
        <v>336</v>
      </c>
      <c r="D81" s="34">
        <f>D69</f>
        <v>0</v>
      </c>
      <c r="E81" s="34"/>
      <c r="F81" s="34">
        <f>F69</f>
        <v>0</v>
      </c>
      <c r="G81" s="34"/>
      <c r="H81" s="34">
        <f>H69</f>
        <v>0</v>
      </c>
      <c r="I81" s="34"/>
      <c r="J81" s="34">
        <f>J69</f>
        <v>0</v>
      </c>
      <c r="K81" s="34"/>
      <c r="L81" s="34">
        <f>L69</f>
        <v>4954000</v>
      </c>
      <c r="M81" s="34"/>
      <c r="N81" s="34">
        <f>N69</f>
        <v>0</v>
      </c>
      <c r="O81" s="34"/>
    </row>
    <row r="82" spans="2:15" x14ac:dyDescent="0.25">
      <c r="C82" s="1" t="s">
        <v>389</v>
      </c>
      <c r="D82" s="36">
        <v>295556</v>
      </c>
      <c r="E82" s="36"/>
      <c r="F82" s="36">
        <v>407866</v>
      </c>
      <c r="G82" s="36"/>
      <c r="H82" s="36">
        <v>262305</v>
      </c>
      <c r="I82" s="36"/>
      <c r="J82" s="36">
        <v>2737000</v>
      </c>
      <c r="K82" s="36"/>
      <c r="L82" s="36">
        <v>21310000</v>
      </c>
      <c r="M82" s="36"/>
      <c r="N82" s="36">
        <v>372000</v>
      </c>
      <c r="O82" s="36"/>
    </row>
    <row r="83" spans="2:15" x14ac:dyDescent="0.25">
      <c r="C83" s="1" t="s">
        <v>323</v>
      </c>
      <c r="D83" s="34">
        <f>-D50</f>
        <v>-4474836</v>
      </c>
      <c r="E83" s="34"/>
      <c r="F83" s="34">
        <f>-F50</f>
        <v>-3353105</v>
      </c>
      <c r="G83" s="34"/>
      <c r="H83" s="34">
        <f>-H50</f>
        <v>-1840456</v>
      </c>
      <c r="I83" s="34"/>
      <c r="J83" s="34">
        <f>-J50</f>
        <v>-9565000</v>
      </c>
      <c r="K83" s="34"/>
      <c r="L83" s="34">
        <f>-L50</f>
        <v>-39132000</v>
      </c>
      <c r="M83" s="34"/>
      <c r="N83" s="34">
        <f>-N50</f>
        <v>-4536000</v>
      </c>
      <c r="O83" s="34"/>
    </row>
    <row r="84" spans="2:15" x14ac:dyDescent="0.25">
      <c r="C84" s="11" t="s">
        <v>255</v>
      </c>
      <c r="D84" s="39">
        <f>SUM(D79:D83)</f>
        <v>-3195831</v>
      </c>
      <c r="E84" s="39"/>
      <c r="F84" s="39">
        <f>SUM(F79:F83)</f>
        <v>-2945239</v>
      </c>
      <c r="G84" s="39"/>
      <c r="H84" s="39">
        <f>SUM(H79:H83)</f>
        <v>-1578151</v>
      </c>
      <c r="I84" s="39"/>
      <c r="J84" s="39">
        <f>SUM(J79:J83)</f>
        <v>7611000</v>
      </c>
      <c r="K84" s="39"/>
      <c r="L84" s="39">
        <f>SUM(L79:L83)</f>
        <v>122293000</v>
      </c>
      <c r="M84" s="39"/>
      <c r="N84" s="39">
        <f>SUM(N79:N83)</f>
        <v>-4164000</v>
      </c>
      <c r="O84" s="34"/>
    </row>
    <row r="86" spans="2:15" x14ac:dyDescent="0.25">
      <c r="C86" s="11" t="s">
        <v>341</v>
      </c>
      <c r="D86" s="39">
        <f>D77+D84</f>
        <v>44177973.523539998</v>
      </c>
      <c r="E86" s="39"/>
      <c r="F86" s="39">
        <f t="shared" ref="F86:N86" si="0">F77+F84</f>
        <v>66703554.580279306</v>
      </c>
      <c r="G86" s="39"/>
      <c r="H86" s="39">
        <f t="shared" si="0"/>
        <v>12388367.019679999</v>
      </c>
      <c r="I86" s="39"/>
      <c r="J86" s="39">
        <f t="shared" si="0"/>
        <v>195930600</v>
      </c>
      <c r="K86" s="39"/>
      <c r="L86" s="39">
        <f t="shared" si="0"/>
        <v>603513461.36000001</v>
      </c>
      <c r="M86" s="39"/>
      <c r="N86" s="39">
        <f t="shared" si="0"/>
        <v>136728940</v>
      </c>
    </row>
    <row r="87" spans="2:15" x14ac:dyDescent="0.25">
      <c r="H87" s="1" t="s">
        <v>178</v>
      </c>
    </row>
    <row r="89" spans="2:15" x14ac:dyDescent="0.25">
      <c r="B89" s="1" t="s">
        <v>33</v>
      </c>
      <c r="C89" s="6" t="s">
        <v>311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2:15" x14ac:dyDescent="0.25">
      <c r="C90" s="152"/>
    </row>
    <row r="91" spans="2:15" x14ac:dyDescent="0.25">
      <c r="C91" s="50" t="s">
        <v>376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2:15" x14ac:dyDescent="0.25">
      <c r="C92" s="1" t="s">
        <v>21</v>
      </c>
      <c r="D92" s="36">
        <v>3427158</v>
      </c>
      <c r="E92" s="36"/>
      <c r="F92" s="36">
        <v>3626396</v>
      </c>
      <c r="G92" s="36"/>
      <c r="H92" s="36">
        <v>3131266</v>
      </c>
      <c r="I92" s="36"/>
      <c r="J92" s="36">
        <v>41525000</v>
      </c>
      <c r="K92" s="36"/>
      <c r="L92" s="36">
        <v>57399000</v>
      </c>
      <c r="M92" s="36"/>
      <c r="N92" s="36">
        <v>9221500</v>
      </c>
      <c r="O92" s="36"/>
    </row>
    <row r="93" spans="2:15" x14ac:dyDescent="0.25">
      <c r="C93" s="1" t="s">
        <v>342</v>
      </c>
      <c r="D93" s="36">
        <v>-686957</v>
      </c>
      <c r="E93" s="36"/>
      <c r="F93" s="36">
        <v>-1214673</v>
      </c>
      <c r="G93" s="36"/>
      <c r="H93" s="36">
        <v>-508487</v>
      </c>
      <c r="I93" s="36"/>
      <c r="J93" s="36">
        <v>-9270000</v>
      </c>
      <c r="K93" s="36"/>
      <c r="L93" s="36">
        <v>0</v>
      </c>
      <c r="M93" s="36"/>
      <c r="N93" s="36">
        <v>-2451600</v>
      </c>
      <c r="O93" s="36"/>
    </row>
    <row r="94" spans="2:15" x14ac:dyDescent="0.25">
      <c r="C94" s="11" t="s">
        <v>343</v>
      </c>
      <c r="D94" s="39">
        <f>SUM(D92:D93)</f>
        <v>2740201</v>
      </c>
      <c r="E94" s="39"/>
      <c r="F94" s="39">
        <f>SUM(F92:F93)</f>
        <v>2411723</v>
      </c>
      <c r="G94" s="39"/>
      <c r="H94" s="39">
        <f>SUM(H92:H93)</f>
        <v>2622779</v>
      </c>
      <c r="I94" s="39"/>
      <c r="J94" s="39">
        <f>SUM(J92:J93)</f>
        <v>32255000</v>
      </c>
      <c r="K94" s="39"/>
      <c r="L94" s="39">
        <f>SUM(L92:L93)</f>
        <v>57399000</v>
      </c>
      <c r="M94" s="39"/>
      <c r="N94" s="39">
        <f>SUM(N92:N93)</f>
        <v>6769900</v>
      </c>
      <c r="O94" s="39"/>
    </row>
    <row r="95" spans="2:15" x14ac:dyDescent="0.25">
      <c r="C95" s="1" t="s">
        <v>344</v>
      </c>
      <c r="D95" s="36">
        <v>-2784574</v>
      </c>
      <c r="E95" s="36"/>
      <c r="F95" s="36">
        <v>-3867733</v>
      </c>
      <c r="G95" s="36"/>
      <c r="H95" s="36">
        <v>-2615400</v>
      </c>
      <c r="I95" s="36"/>
      <c r="J95" s="36">
        <v>-23924000</v>
      </c>
      <c r="K95" s="36"/>
      <c r="L95" s="36">
        <v>-39721000</v>
      </c>
      <c r="M95" s="36"/>
      <c r="N95" s="36">
        <v>-5527000</v>
      </c>
      <c r="O95" s="36"/>
    </row>
    <row r="96" spans="2:15" x14ac:dyDescent="0.25">
      <c r="C96" s="11" t="s">
        <v>345</v>
      </c>
      <c r="D96" s="39">
        <f>SUM(D94:D95)</f>
        <v>-44373</v>
      </c>
      <c r="E96" s="39"/>
      <c r="F96" s="39">
        <f>SUM(F94:F95)</f>
        <v>-1456010</v>
      </c>
      <c r="G96" s="39"/>
      <c r="H96" s="39">
        <f>SUM(H94:H95)</f>
        <v>7379</v>
      </c>
      <c r="I96" s="39"/>
      <c r="J96" s="39">
        <f>SUM(J94:J95)</f>
        <v>8331000</v>
      </c>
      <c r="K96" s="39"/>
      <c r="L96" s="39">
        <f>SUM(L94:L95)</f>
        <v>17678000</v>
      </c>
      <c r="M96" s="39"/>
      <c r="N96" s="39">
        <f>SUM(N94:N95)</f>
        <v>1242900</v>
      </c>
      <c r="O96" s="39"/>
    </row>
    <row r="97" spans="3:15" x14ac:dyDescent="0.25">
      <c r="C97" s="1" t="s">
        <v>346</v>
      </c>
      <c r="D97" s="36">
        <v>171394</v>
      </c>
      <c r="E97" s="36"/>
      <c r="F97" s="36">
        <v>170911</v>
      </c>
      <c r="G97" s="36"/>
      <c r="H97" s="36">
        <v>62084</v>
      </c>
      <c r="I97" s="36"/>
      <c r="J97" s="36">
        <v>1189000</v>
      </c>
      <c r="K97" s="36"/>
      <c r="L97" s="36">
        <v>-3518000</v>
      </c>
      <c r="M97" s="36"/>
      <c r="N97" s="36">
        <f>-3000+355800</f>
        <v>352800</v>
      </c>
      <c r="O97" s="36"/>
    </row>
    <row r="98" spans="3:15" x14ac:dyDescent="0.25">
      <c r="C98" s="1" t="s">
        <v>347</v>
      </c>
      <c r="D98" s="53">
        <f>SUM(D96:D97)</f>
        <v>127021</v>
      </c>
      <c r="E98" s="34"/>
      <c r="F98" s="34">
        <f>SUM(F96:F97)</f>
        <v>-1285099</v>
      </c>
      <c r="G98" s="34"/>
      <c r="H98" s="34">
        <f>SUM(H96:H97)</f>
        <v>69463</v>
      </c>
      <c r="I98" s="34"/>
      <c r="J98" s="34">
        <f>SUM(J96:J97)</f>
        <v>9520000</v>
      </c>
      <c r="K98" s="34"/>
      <c r="L98" s="34">
        <f>SUM(L96:L97)</f>
        <v>14160000</v>
      </c>
      <c r="M98" s="34"/>
      <c r="N98" s="34">
        <f>SUM(N96:N97)</f>
        <v>1595700</v>
      </c>
      <c r="O98" s="34"/>
    </row>
    <row r="99" spans="3:15" x14ac:dyDescent="0.25">
      <c r="C99" s="1" t="s">
        <v>348</v>
      </c>
      <c r="D99" s="36">
        <v>-19280</v>
      </c>
      <c r="E99" s="36"/>
      <c r="F99" s="36">
        <v>4113</v>
      </c>
      <c r="G99" s="36"/>
      <c r="H99" s="36">
        <v>-23552</v>
      </c>
      <c r="I99" s="36"/>
      <c r="J99" s="36">
        <v>-2063000</v>
      </c>
      <c r="K99" s="36"/>
      <c r="L99" s="36">
        <v>-1717000</v>
      </c>
      <c r="M99" s="36"/>
      <c r="N99" s="36">
        <v>-461800</v>
      </c>
      <c r="O99" s="36"/>
    </row>
    <row r="100" spans="3:15" x14ac:dyDescent="0.25">
      <c r="C100" s="11" t="s">
        <v>349</v>
      </c>
      <c r="D100" s="39">
        <f>SUM(D98:D99)</f>
        <v>107741</v>
      </c>
      <c r="E100" s="39"/>
      <c r="F100" s="39">
        <f>SUM(F98:F99)</f>
        <v>-1280986</v>
      </c>
      <c r="G100" s="39"/>
      <c r="H100" s="39">
        <f>SUM(H98:H99)</f>
        <v>45911</v>
      </c>
      <c r="I100" s="39"/>
      <c r="J100" s="39">
        <f>SUM(J98:J99)</f>
        <v>7457000</v>
      </c>
      <c r="K100" s="39"/>
      <c r="L100" s="39">
        <f>SUM(L98:L99)</f>
        <v>12443000</v>
      </c>
      <c r="M100" s="39"/>
      <c r="N100" s="39">
        <f>SUM(N98:N99)</f>
        <v>1133900</v>
      </c>
      <c r="O100" s="39"/>
    </row>
    <row r="101" spans="3:15" x14ac:dyDescent="0.25">
      <c r="C101" s="1" t="s">
        <v>350</v>
      </c>
      <c r="D101" s="36">
        <v>363472</v>
      </c>
      <c r="E101" s="36"/>
      <c r="F101" s="36">
        <v>332707</v>
      </c>
      <c r="G101" s="36"/>
      <c r="H101" s="36">
        <v>53194</v>
      </c>
      <c r="I101" s="36"/>
      <c r="J101" s="36">
        <v>956000</v>
      </c>
      <c r="K101" s="36"/>
      <c r="L101" s="36">
        <v>2866000</v>
      </c>
      <c r="M101" s="36"/>
      <c r="N101" s="36">
        <v>709300</v>
      </c>
      <c r="O101" s="36"/>
    </row>
    <row r="102" spans="3:15" x14ac:dyDescent="0.25">
      <c r="C102" s="1" t="s">
        <v>351</v>
      </c>
      <c r="D102" s="36">
        <v>55756</v>
      </c>
      <c r="E102" s="36"/>
      <c r="F102" s="36">
        <v>182508</v>
      </c>
      <c r="G102" s="36"/>
      <c r="H102" s="36">
        <v>136295</v>
      </c>
      <c r="I102" s="36"/>
      <c r="J102" s="36">
        <v>3631000</v>
      </c>
      <c r="K102" s="36"/>
      <c r="L102" s="36">
        <v>6174000</v>
      </c>
      <c r="M102" s="36"/>
      <c r="N102" s="36">
        <v>343400</v>
      </c>
      <c r="O102" s="36"/>
    </row>
    <row r="103" spans="3:15" x14ac:dyDescent="0.25">
      <c r="D103" s="36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</row>
    <row r="104" spans="3:15" x14ac:dyDescent="0.25">
      <c r="C104" s="1" t="s">
        <v>37</v>
      </c>
      <c r="D104" s="53">
        <f>D96+D102</f>
        <v>11383</v>
      </c>
      <c r="E104" s="34"/>
      <c r="F104" s="34">
        <f>F96+F102</f>
        <v>-1273502</v>
      </c>
      <c r="G104" s="34"/>
      <c r="H104" s="34">
        <f>H96+H102</f>
        <v>143674</v>
      </c>
      <c r="I104" s="34"/>
      <c r="J104" s="34">
        <f>J96+J102</f>
        <v>11962000</v>
      </c>
      <c r="K104" s="34"/>
      <c r="L104" s="34">
        <f>L96+L102</f>
        <v>23852000</v>
      </c>
      <c r="M104" s="34"/>
      <c r="N104" s="34">
        <f>N96+N102</f>
        <v>1586300</v>
      </c>
      <c r="O104" s="34"/>
    </row>
    <row r="105" spans="3:15" x14ac:dyDescent="0.25">
      <c r="C105" s="1" t="s">
        <v>388</v>
      </c>
      <c r="D105" s="158">
        <f>D100/D101</f>
        <v>0.29642173262314564</v>
      </c>
      <c r="E105" s="158"/>
      <c r="F105" s="158">
        <f t="shared" ref="F105:N105" si="1">F100/F101</f>
        <v>-3.8501925117295399</v>
      </c>
      <c r="G105" s="158"/>
      <c r="H105" s="158">
        <f t="shared" si="1"/>
        <v>0.86308606233785767</v>
      </c>
      <c r="I105" s="158"/>
      <c r="J105" s="158">
        <f t="shared" si="1"/>
        <v>7.8002092050209209</v>
      </c>
      <c r="K105" s="158"/>
      <c r="L105" s="158">
        <f t="shared" si="1"/>
        <v>4.3415910676901603</v>
      </c>
      <c r="M105" s="158"/>
      <c r="N105" s="158">
        <f t="shared" si="1"/>
        <v>1.5986183561257579</v>
      </c>
      <c r="O105" s="34"/>
    </row>
    <row r="106" spans="3:15" x14ac:dyDescent="0.25"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34"/>
    </row>
    <row r="107" spans="3:15" x14ac:dyDescent="0.25">
      <c r="C107" s="1" t="s">
        <v>352</v>
      </c>
      <c r="D107" s="42">
        <f>-(IFERROR(D99/D98,0))</f>
        <v>0.15178592516198108</v>
      </c>
      <c r="E107" s="42"/>
      <c r="F107" s="42">
        <f>-(IFERROR(F99/F98,0))</f>
        <v>3.2005316321933176E-3</v>
      </c>
      <c r="G107" s="42"/>
      <c r="H107" s="42">
        <f>-(IFERROR(H99/H98,0))</f>
        <v>0.33905820364798528</v>
      </c>
      <c r="I107" s="42"/>
      <c r="J107" s="42">
        <f>-(IFERROR(J99/J98,0))</f>
        <v>0.21670168067226891</v>
      </c>
      <c r="K107" s="42"/>
      <c r="L107" s="42">
        <f>-(IFERROR(L99/L98,0))</f>
        <v>0.12125706214689265</v>
      </c>
      <c r="M107" s="42"/>
      <c r="N107" s="42">
        <f>-(IFERROR(N99/N98,0))</f>
        <v>0.28940276994422509</v>
      </c>
      <c r="O107" s="34"/>
    </row>
    <row r="108" spans="3:15" x14ac:dyDescent="0.25"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34"/>
    </row>
    <row r="109" spans="3:15" x14ac:dyDescent="0.25">
      <c r="C109" s="1" t="s">
        <v>408</v>
      </c>
      <c r="D109" s="53">
        <v>812417</v>
      </c>
      <c r="E109" s="53"/>
      <c r="F109" s="53">
        <v>1924883</v>
      </c>
      <c r="G109" s="53"/>
      <c r="H109" s="53">
        <v>574522</v>
      </c>
      <c r="I109" s="53"/>
      <c r="J109" s="53">
        <v>5825000</v>
      </c>
      <c r="K109" s="53"/>
      <c r="L109" s="53">
        <v>7355000</v>
      </c>
      <c r="M109" s="53"/>
      <c r="N109" s="53">
        <v>1409000</v>
      </c>
      <c r="O109" s="34"/>
    </row>
    <row r="110" spans="3:15" x14ac:dyDescent="0.25">
      <c r="C110" s="1" t="s">
        <v>409</v>
      </c>
      <c r="D110" s="53">
        <v>5602</v>
      </c>
      <c r="E110" s="53"/>
      <c r="F110" s="53">
        <v>8298</v>
      </c>
      <c r="G110" s="53"/>
      <c r="H110" s="53">
        <v>1000</v>
      </c>
      <c r="I110" s="53"/>
      <c r="J110" s="53">
        <v>0</v>
      </c>
      <c r="K110" s="53"/>
      <c r="L110" s="53">
        <v>0</v>
      </c>
      <c r="M110" s="53"/>
      <c r="N110" s="53">
        <v>1100</v>
      </c>
      <c r="O110" s="34"/>
    </row>
    <row r="111" spans="3:15" x14ac:dyDescent="0.25">
      <c r="C111" s="1" t="s">
        <v>410</v>
      </c>
      <c r="D111" s="53">
        <v>-179178</v>
      </c>
      <c r="E111" s="53"/>
      <c r="F111" s="53">
        <v>-138193</v>
      </c>
      <c r="G111" s="53"/>
      <c r="H111" s="53">
        <v>-105445</v>
      </c>
      <c r="I111" s="53"/>
      <c r="J111" s="53">
        <v>-1313000</v>
      </c>
      <c r="K111" s="53"/>
      <c r="L111" s="53">
        <v>-2514000</v>
      </c>
      <c r="M111" s="53"/>
      <c r="N111" s="53">
        <v>-199500</v>
      </c>
      <c r="O111" s="34"/>
    </row>
    <row r="112" spans="3:15" x14ac:dyDescent="0.25"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34"/>
    </row>
    <row r="113" spans="3:15" x14ac:dyDescent="0.25">
      <c r="C113" s="1" t="s">
        <v>39</v>
      </c>
      <c r="D113" s="53">
        <f>D114+D102</f>
        <v>823800</v>
      </c>
      <c r="E113" s="53"/>
      <c r="F113" s="53">
        <f>F114+F102</f>
        <v>651381</v>
      </c>
      <c r="G113" s="53"/>
      <c r="H113" s="53">
        <f>H114+H102</f>
        <v>718196</v>
      </c>
      <c r="I113" s="53"/>
      <c r="J113" s="53">
        <f>J114+J102</f>
        <v>17787000</v>
      </c>
      <c r="K113" s="53"/>
      <c r="L113" s="53">
        <f>L114+L102</f>
        <v>31207000</v>
      </c>
      <c r="M113" s="53"/>
      <c r="N113" s="53">
        <f>N114+N102</f>
        <v>2995300</v>
      </c>
      <c r="O113" s="34"/>
    </row>
    <row r="114" spans="3:15" x14ac:dyDescent="0.25">
      <c r="C114" s="1" t="s">
        <v>411</v>
      </c>
      <c r="D114" s="53">
        <f>D96+D109</f>
        <v>768044</v>
      </c>
      <c r="E114" s="53"/>
      <c r="F114" s="53">
        <f>F96+F109</f>
        <v>468873</v>
      </c>
      <c r="G114" s="53"/>
      <c r="H114" s="53">
        <f>H96+H109</f>
        <v>581901</v>
      </c>
      <c r="I114" s="53"/>
      <c r="J114" s="53">
        <f>J96+J109</f>
        <v>14156000</v>
      </c>
      <c r="K114" s="53"/>
      <c r="L114" s="53">
        <f>L96+L109</f>
        <v>25033000</v>
      </c>
      <c r="M114" s="53"/>
      <c r="N114" s="53">
        <f>N96+N109</f>
        <v>2651900</v>
      </c>
      <c r="O114" s="34"/>
    </row>
    <row r="115" spans="3:15" x14ac:dyDescent="0.25">
      <c r="C115" s="1" t="s">
        <v>396</v>
      </c>
      <c r="D115" s="53">
        <f>D100+SUM(D109:D111)</f>
        <v>746582</v>
      </c>
      <c r="E115" s="53"/>
      <c r="F115" s="53">
        <f>F100+SUM(F109:F111)</f>
        <v>514002</v>
      </c>
      <c r="G115" s="53"/>
      <c r="H115" s="53">
        <f>H100+SUM(H109:H111)</f>
        <v>515988</v>
      </c>
      <c r="I115" s="53"/>
      <c r="J115" s="53">
        <f>J100+SUM(J109:J111)</f>
        <v>11969000</v>
      </c>
      <c r="K115" s="53"/>
      <c r="L115" s="53">
        <f>L100+SUM(L109:L111)</f>
        <v>17284000</v>
      </c>
      <c r="M115" s="53"/>
      <c r="N115" s="53">
        <f>N100+SUM(N109:N111)</f>
        <v>2344500</v>
      </c>
      <c r="O115" s="34"/>
    </row>
    <row r="116" spans="3:15" x14ac:dyDescent="0.25">
      <c r="C116" s="1" t="s">
        <v>412</v>
      </c>
      <c r="D116" s="158">
        <f>D115/D101</f>
        <v>2.0540289210723248</v>
      </c>
      <c r="E116" s="158"/>
      <c r="F116" s="158">
        <f>F115/F101</f>
        <v>1.5449088837926463</v>
      </c>
      <c r="G116" s="158"/>
      <c r="H116" s="158">
        <f>H115/H101</f>
        <v>9.7001165544986279</v>
      </c>
      <c r="I116" s="158"/>
      <c r="J116" s="158">
        <f>J115/J101</f>
        <v>12.519874476987448</v>
      </c>
      <c r="K116" s="158"/>
      <c r="L116" s="158">
        <f>L115/L101</f>
        <v>6.0307048150732729</v>
      </c>
      <c r="M116" s="158"/>
      <c r="N116" s="158">
        <f>N115/N101</f>
        <v>3.3053714930212887</v>
      </c>
      <c r="O116" s="34"/>
    </row>
    <row r="117" spans="3:15" x14ac:dyDescent="0.25"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34"/>
    </row>
    <row r="118" spans="3:15" x14ac:dyDescent="0.25">
      <c r="C118" s="50" t="s">
        <v>377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3:15" x14ac:dyDescent="0.25">
      <c r="C119" s="1" t="s">
        <v>21</v>
      </c>
      <c r="D119" s="155">
        <v>0</v>
      </c>
      <c r="E119" s="36"/>
      <c r="F119" s="36">
        <v>3399952</v>
      </c>
      <c r="G119" s="36"/>
      <c r="H119" s="155">
        <v>0</v>
      </c>
      <c r="I119" s="155"/>
      <c r="J119" s="155">
        <v>0</v>
      </c>
      <c r="K119" s="36"/>
      <c r="L119" s="36">
        <v>48173000</v>
      </c>
      <c r="M119" s="36"/>
      <c r="N119" s="36">
        <v>5068000</v>
      </c>
      <c r="O119" s="36"/>
    </row>
    <row r="120" spans="3:15" x14ac:dyDescent="0.25">
      <c r="C120" s="1" t="s">
        <v>342</v>
      </c>
      <c r="D120" s="155">
        <v>0</v>
      </c>
      <c r="E120" s="36"/>
      <c r="F120" s="36">
        <v>-1111474</v>
      </c>
      <c r="G120" s="36"/>
      <c r="H120" s="155">
        <v>0</v>
      </c>
      <c r="I120" s="155"/>
      <c r="J120" s="155">
        <v>0</v>
      </c>
      <c r="K120" s="36"/>
      <c r="L120" s="36">
        <v>0</v>
      </c>
      <c r="M120" s="36"/>
      <c r="N120" s="36">
        <v>-1323000</v>
      </c>
      <c r="O120" s="36"/>
    </row>
    <row r="121" spans="3:15" x14ac:dyDescent="0.25">
      <c r="C121" s="11" t="s">
        <v>343</v>
      </c>
      <c r="D121" s="155">
        <v>0</v>
      </c>
      <c r="E121" s="39"/>
      <c r="F121" s="39">
        <f>SUM(F119:F120)</f>
        <v>2288478</v>
      </c>
      <c r="G121" s="39"/>
      <c r="H121" s="155">
        <v>0</v>
      </c>
      <c r="I121" s="157"/>
      <c r="J121" s="155">
        <v>0</v>
      </c>
      <c r="K121" s="39"/>
      <c r="L121" s="39">
        <f>SUM(L119:L120)</f>
        <v>48173000</v>
      </c>
      <c r="M121" s="39"/>
      <c r="N121" s="39">
        <f>SUM(N119:N120)</f>
        <v>3745000</v>
      </c>
      <c r="O121" s="34"/>
    </row>
    <row r="122" spans="3:15" x14ac:dyDescent="0.25">
      <c r="C122" s="1" t="s">
        <v>344</v>
      </c>
      <c r="D122" s="155">
        <v>0</v>
      </c>
      <c r="E122" s="36"/>
      <c r="F122" s="36">
        <v>-3405484</v>
      </c>
      <c r="G122" s="36"/>
      <c r="H122" s="155">
        <v>0</v>
      </c>
      <c r="I122" s="155"/>
      <c r="J122" s="155">
        <v>0</v>
      </c>
      <c r="K122" s="36"/>
      <c r="L122" s="36">
        <v>-33700000</v>
      </c>
      <c r="M122" s="36"/>
      <c r="N122" s="36">
        <v>-3039000</v>
      </c>
      <c r="O122" s="36"/>
    </row>
    <row r="123" spans="3:15" x14ac:dyDescent="0.25">
      <c r="C123" s="11" t="s">
        <v>345</v>
      </c>
      <c r="D123" s="155">
        <v>0</v>
      </c>
      <c r="E123" s="39"/>
      <c r="F123" s="39">
        <f>SUM(F121:F122)</f>
        <v>-1117006</v>
      </c>
      <c r="G123" s="39"/>
      <c r="H123" s="155">
        <v>0</v>
      </c>
      <c r="I123" s="157"/>
      <c r="J123" s="155">
        <v>0</v>
      </c>
      <c r="K123" s="39"/>
      <c r="L123" s="39">
        <f>SUM(L121:L122)</f>
        <v>14473000</v>
      </c>
      <c r="M123" s="39"/>
      <c r="N123" s="39">
        <f>SUM(N121:N122)</f>
        <v>706000</v>
      </c>
      <c r="O123" s="39"/>
    </row>
    <row r="124" spans="3:15" x14ac:dyDescent="0.25">
      <c r="C124" s="1" t="s">
        <v>346</v>
      </c>
      <c r="D124" s="155">
        <v>0</v>
      </c>
      <c r="E124" s="36"/>
      <c r="F124" s="36">
        <v>106994</v>
      </c>
      <c r="G124" s="36"/>
      <c r="H124" s="155">
        <v>0</v>
      </c>
      <c r="I124" s="155"/>
      <c r="J124" s="155">
        <v>0</v>
      </c>
      <c r="K124" s="36"/>
      <c r="L124" s="36">
        <f>-3160000+2872000</f>
        <v>-288000</v>
      </c>
      <c r="M124" s="36"/>
      <c r="N124" s="36">
        <v>255000</v>
      </c>
      <c r="O124" s="36"/>
    </row>
    <row r="125" spans="3:15" x14ac:dyDescent="0.25">
      <c r="C125" s="1" t="s">
        <v>347</v>
      </c>
      <c r="D125" s="155">
        <v>0</v>
      </c>
      <c r="E125" s="34"/>
      <c r="F125" s="34">
        <f>SUM(F123:F124)</f>
        <v>-1010012</v>
      </c>
      <c r="G125" s="34"/>
      <c r="H125" s="155">
        <v>0</v>
      </c>
      <c r="I125" s="156"/>
      <c r="J125" s="155">
        <v>0</v>
      </c>
      <c r="K125" s="34"/>
      <c r="L125" s="34">
        <f>SUM(L123:L124)</f>
        <v>14185000</v>
      </c>
      <c r="M125" s="34"/>
      <c r="N125" s="34">
        <f>SUM(N123:N124)</f>
        <v>961000</v>
      </c>
      <c r="O125" s="34"/>
    </row>
    <row r="126" spans="3:15" x14ac:dyDescent="0.25">
      <c r="C126" s="1" t="s">
        <v>348</v>
      </c>
      <c r="D126" s="155">
        <v>0</v>
      </c>
      <c r="E126" s="36"/>
      <c r="F126" s="36">
        <v>-9473</v>
      </c>
      <c r="G126" s="36"/>
      <c r="H126" s="155">
        <v>0</v>
      </c>
      <c r="I126" s="155"/>
      <c r="J126" s="155">
        <v>0</v>
      </c>
      <c r="K126" s="36"/>
      <c r="L126" s="36">
        <v>-1402000</v>
      </c>
      <c r="M126" s="36"/>
      <c r="N126" s="36">
        <v>-195000</v>
      </c>
      <c r="O126" s="36"/>
    </row>
    <row r="127" spans="3:15" x14ac:dyDescent="0.25">
      <c r="C127" s="11" t="s">
        <v>349</v>
      </c>
      <c r="D127" s="155">
        <v>0</v>
      </c>
      <c r="E127" s="39"/>
      <c r="F127" s="39">
        <f>SUM(F125:F126)</f>
        <v>-1019485</v>
      </c>
      <c r="G127" s="39"/>
      <c r="H127" s="155">
        <v>0</v>
      </c>
      <c r="I127" s="157"/>
      <c r="J127" s="155">
        <v>0</v>
      </c>
      <c r="K127" s="39"/>
      <c r="L127" s="39">
        <f>SUM(L125:L126)</f>
        <v>12783000</v>
      </c>
      <c r="M127" s="39"/>
      <c r="N127" s="39">
        <f>SUM(N125:N126)</f>
        <v>766000</v>
      </c>
      <c r="O127" s="34"/>
    </row>
    <row r="128" spans="3:15" x14ac:dyDescent="0.25">
      <c r="C128" s="1" t="s">
        <v>350</v>
      </c>
      <c r="D128" s="155">
        <v>0</v>
      </c>
      <c r="E128" s="36"/>
      <c r="F128" s="36">
        <v>335875</v>
      </c>
      <c r="G128" s="36"/>
      <c r="H128" s="155">
        <v>0</v>
      </c>
      <c r="I128" s="155"/>
      <c r="J128" s="155">
        <v>0</v>
      </c>
      <c r="K128" s="36"/>
      <c r="L128" s="36">
        <v>2914000</v>
      </c>
      <c r="M128" s="36"/>
      <c r="N128" s="36">
        <v>713000</v>
      </c>
      <c r="O128" s="36"/>
    </row>
    <row r="129" spans="3:15" x14ac:dyDescent="0.25">
      <c r="C129" s="1" t="s">
        <v>351</v>
      </c>
      <c r="D129" s="155">
        <v>0</v>
      </c>
      <c r="E129" s="36"/>
      <c r="F129" s="36">
        <v>161519</v>
      </c>
      <c r="G129" s="36"/>
      <c r="H129" s="155">
        <v>0</v>
      </c>
      <c r="I129" s="155"/>
      <c r="J129" s="155">
        <v>0</v>
      </c>
      <c r="K129" s="36"/>
      <c r="L129" s="36">
        <v>6447000</v>
      </c>
      <c r="M129" s="36"/>
      <c r="N129" s="36">
        <v>180000</v>
      </c>
      <c r="O129" s="36"/>
    </row>
    <row r="130" spans="3:15" x14ac:dyDescent="0.25">
      <c r="D130" s="156"/>
      <c r="E130" s="34"/>
      <c r="F130" s="34"/>
      <c r="G130" s="34"/>
      <c r="H130" s="156"/>
      <c r="I130" s="156"/>
      <c r="J130" s="156"/>
      <c r="K130" s="34"/>
      <c r="L130" s="34"/>
      <c r="M130" s="34"/>
      <c r="N130" s="34"/>
      <c r="O130" s="34"/>
    </row>
    <row r="131" spans="3:15" x14ac:dyDescent="0.25">
      <c r="C131" s="1" t="s">
        <v>37</v>
      </c>
      <c r="D131" s="155">
        <v>0</v>
      </c>
      <c r="E131" s="34"/>
      <c r="F131" s="34">
        <f>F123+F129</f>
        <v>-955487</v>
      </c>
      <c r="G131" s="34"/>
      <c r="H131" s="155">
        <v>0</v>
      </c>
      <c r="I131" s="156"/>
      <c r="J131" s="155">
        <v>0</v>
      </c>
      <c r="K131" s="34"/>
      <c r="L131" s="34">
        <f>L123+L129</f>
        <v>20920000</v>
      </c>
      <c r="M131" s="34"/>
      <c r="N131" s="34">
        <f>N123+N129</f>
        <v>886000</v>
      </c>
      <c r="O131" s="34"/>
    </row>
    <row r="132" spans="3:15" x14ac:dyDescent="0.25">
      <c r="C132" s="1" t="s">
        <v>388</v>
      </c>
      <c r="D132" s="155">
        <v>0</v>
      </c>
      <c r="E132" s="34"/>
      <c r="F132" s="72">
        <f>F127/F128</f>
        <v>-3.0353107554893932</v>
      </c>
      <c r="G132" s="34"/>
      <c r="H132" s="155">
        <v>0</v>
      </c>
      <c r="I132" s="156"/>
      <c r="J132" s="155">
        <v>0</v>
      </c>
      <c r="K132" s="34"/>
      <c r="L132" s="72">
        <f>L127/L128</f>
        <v>4.3867536032944408</v>
      </c>
      <c r="M132" s="34"/>
      <c r="N132" s="72">
        <f>N127/N128</f>
        <v>1.0743338008415146</v>
      </c>
      <c r="O132" s="34"/>
    </row>
    <row r="133" spans="3:15" x14ac:dyDescent="0.25">
      <c r="D133" s="156"/>
      <c r="H133" s="156"/>
      <c r="I133" s="156"/>
      <c r="J133" s="156"/>
    </row>
    <row r="134" spans="3:15" x14ac:dyDescent="0.25">
      <c r="C134" s="1" t="s">
        <v>352</v>
      </c>
      <c r="D134" s="155">
        <v>0</v>
      </c>
      <c r="F134" s="42">
        <f>-(IFERROR(F126/F125,0))</f>
        <v>-9.3790964859823446E-3</v>
      </c>
      <c r="G134" s="42"/>
      <c r="H134" s="155">
        <v>0</v>
      </c>
      <c r="I134" s="156"/>
      <c r="J134" s="155">
        <v>0</v>
      </c>
      <c r="K134" s="42"/>
      <c r="L134" s="42">
        <f>-(IFERROR(L126/L125,0))</f>
        <v>9.883679943602397E-2</v>
      </c>
      <c r="M134" s="42"/>
      <c r="N134" s="42">
        <f>-(IFERROR(N126/N125,0))</f>
        <v>0.20291363163371487</v>
      </c>
      <c r="O134" s="42"/>
    </row>
    <row r="135" spans="3:15" x14ac:dyDescent="0.25">
      <c r="D135" s="155"/>
      <c r="F135" s="42"/>
      <c r="G135" s="42"/>
      <c r="H135" s="155"/>
      <c r="I135" s="156"/>
      <c r="J135" s="155"/>
      <c r="K135" s="42"/>
      <c r="L135" s="42"/>
      <c r="M135" s="42"/>
      <c r="N135" s="42"/>
      <c r="O135" s="42"/>
    </row>
    <row r="136" spans="3:15" x14ac:dyDescent="0.25">
      <c r="C136" s="1" t="s">
        <v>408</v>
      </c>
      <c r="D136" s="155">
        <v>0</v>
      </c>
      <c r="E136" s="34"/>
      <c r="F136" s="34">
        <f>1287296+80759+3458-12650+108686</f>
        <v>1467549</v>
      </c>
      <c r="G136" s="42"/>
      <c r="H136" s="155">
        <v>0</v>
      </c>
      <c r="I136" s="156"/>
      <c r="J136" s="155">
        <v>0</v>
      </c>
      <c r="K136" s="42"/>
      <c r="L136" s="34">
        <v>5863000</v>
      </c>
      <c r="M136" s="34"/>
      <c r="N136" s="34">
        <v>825000</v>
      </c>
      <c r="O136" s="42"/>
    </row>
    <row r="137" spans="3:15" x14ac:dyDescent="0.25">
      <c r="C137" s="1" t="s">
        <v>409</v>
      </c>
      <c r="D137" s="155">
        <v>0</v>
      </c>
      <c r="E137" s="34"/>
      <c r="F137" s="34">
        <v>6220</v>
      </c>
      <c r="G137" s="42"/>
      <c r="H137" s="155">
        <v>0</v>
      </c>
      <c r="I137" s="156"/>
      <c r="J137" s="155">
        <v>0</v>
      </c>
      <c r="K137" s="42"/>
      <c r="L137" s="34">
        <v>0</v>
      </c>
      <c r="M137" s="34"/>
      <c r="N137" s="34">
        <v>0</v>
      </c>
      <c r="O137" s="42"/>
    </row>
    <row r="138" spans="3:15" x14ac:dyDescent="0.25">
      <c r="C138" s="1" t="s">
        <v>410</v>
      </c>
      <c r="D138" s="155">
        <v>0</v>
      </c>
      <c r="E138" s="34"/>
      <c r="F138" s="34">
        <v>-106467</v>
      </c>
      <c r="G138" s="42"/>
      <c r="H138" s="155">
        <v>0</v>
      </c>
      <c r="I138" s="156"/>
      <c r="J138" s="155">
        <v>0</v>
      </c>
      <c r="K138" s="42"/>
      <c r="L138" s="34">
        <v>-2543000</v>
      </c>
      <c r="M138" s="34"/>
      <c r="N138" s="34">
        <v>-197000</v>
      </c>
      <c r="O138" s="42"/>
    </row>
    <row r="139" spans="3:15" x14ac:dyDescent="0.25">
      <c r="D139" s="155"/>
      <c r="E139" s="34"/>
      <c r="F139" s="34"/>
      <c r="G139" s="42"/>
      <c r="H139" s="155"/>
      <c r="I139" s="156"/>
      <c r="J139" s="155"/>
      <c r="K139" s="42"/>
      <c r="L139" s="34"/>
      <c r="M139" s="34"/>
      <c r="N139" s="34"/>
      <c r="O139" s="42"/>
    </row>
    <row r="140" spans="3:15" x14ac:dyDescent="0.25">
      <c r="C140" s="1" t="s">
        <v>39</v>
      </c>
      <c r="D140" s="155">
        <v>0</v>
      </c>
      <c r="E140" s="34"/>
      <c r="F140" s="34">
        <f>F141+F129</f>
        <v>512062</v>
      </c>
      <c r="G140" s="42"/>
      <c r="H140" s="155">
        <v>0</v>
      </c>
      <c r="I140" s="156"/>
      <c r="J140" s="155">
        <v>0</v>
      </c>
      <c r="K140" s="42"/>
      <c r="L140" s="34">
        <f>L141+L129</f>
        <v>26783000</v>
      </c>
      <c r="M140" s="34"/>
      <c r="N140" s="34">
        <f>N141+N129</f>
        <v>1711000</v>
      </c>
      <c r="O140" s="42"/>
    </row>
    <row r="141" spans="3:15" x14ac:dyDescent="0.25">
      <c r="C141" s="1" t="s">
        <v>411</v>
      </c>
      <c r="D141" s="155">
        <v>0</v>
      </c>
      <c r="E141" s="34"/>
      <c r="F141" s="34">
        <f>F123+F136</f>
        <v>350543</v>
      </c>
      <c r="G141" s="42"/>
      <c r="H141" s="155">
        <v>0</v>
      </c>
      <c r="I141" s="156"/>
      <c r="J141" s="155">
        <v>0</v>
      </c>
      <c r="K141" s="42"/>
      <c r="L141" s="34">
        <f>L123+L136</f>
        <v>20336000</v>
      </c>
      <c r="M141" s="34"/>
      <c r="N141" s="34">
        <f>N123+N136</f>
        <v>1531000</v>
      </c>
      <c r="O141" s="42"/>
    </row>
    <row r="142" spans="3:15" x14ac:dyDescent="0.25">
      <c r="C142" s="1" t="s">
        <v>396</v>
      </c>
      <c r="D142" s="155">
        <v>0</v>
      </c>
      <c r="E142" s="34"/>
      <c r="F142" s="34">
        <f>F127+SUM(F136:F138)</f>
        <v>347817</v>
      </c>
      <c r="G142" s="42"/>
      <c r="H142" s="155">
        <v>0</v>
      </c>
      <c r="I142" s="156"/>
      <c r="J142" s="155">
        <v>0</v>
      </c>
      <c r="K142" s="42"/>
      <c r="L142" s="34">
        <f>L127+SUM(L136:L138)</f>
        <v>16103000</v>
      </c>
      <c r="M142" s="34"/>
      <c r="N142" s="34">
        <f>N127+SUM(N136:N138)</f>
        <v>1394000</v>
      </c>
      <c r="O142" s="42"/>
    </row>
    <row r="143" spans="3:15" x14ac:dyDescent="0.25">
      <c r="C143" s="1" t="s">
        <v>412</v>
      </c>
      <c r="D143" s="155">
        <v>0</v>
      </c>
      <c r="F143" s="72">
        <f>F142/F128</f>
        <v>1.0355548939337551</v>
      </c>
      <c r="G143" s="42"/>
      <c r="H143" s="155">
        <v>0</v>
      </c>
      <c r="I143" s="156"/>
      <c r="J143" s="155">
        <v>0</v>
      </c>
      <c r="K143" s="42"/>
      <c r="L143" s="72">
        <f>L142/L128</f>
        <v>5.5260809883321897</v>
      </c>
      <c r="M143" s="72"/>
      <c r="N143" s="72">
        <f>N142/N128</f>
        <v>1.9551192145862553</v>
      </c>
      <c r="O143" s="42"/>
    </row>
    <row r="145" spans="3:15" x14ac:dyDescent="0.25">
      <c r="C145" s="50" t="s">
        <v>378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3:15" x14ac:dyDescent="0.25">
      <c r="C146" s="1" t="s">
        <v>21</v>
      </c>
      <c r="D146" s="155">
        <v>0</v>
      </c>
      <c r="E146" s="36"/>
      <c r="F146" s="36">
        <v>2639626</v>
      </c>
      <c r="G146" s="36"/>
      <c r="H146" s="155">
        <v>0</v>
      </c>
      <c r="I146" s="155"/>
      <c r="J146" s="155">
        <v>0</v>
      </c>
      <c r="K146" s="36"/>
      <c r="L146" s="36">
        <v>41496000</v>
      </c>
      <c r="M146" s="36"/>
      <c r="N146" s="36">
        <v>4396200</v>
      </c>
      <c r="O146" s="36"/>
    </row>
    <row r="147" spans="3:15" x14ac:dyDescent="0.25">
      <c r="C147" s="1" t="s">
        <v>342</v>
      </c>
      <c r="D147" s="155">
        <v>0</v>
      </c>
      <c r="E147" s="36"/>
      <c r="F147" s="36">
        <v>-881489</v>
      </c>
      <c r="G147" s="36"/>
      <c r="H147" s="155">
        <v>0</v>
      </c>
      <c r="I147" s="155"/>
      <c r="J147" s="155">
        <v>0</v>
      </c>
      <c r="K147" s="36"/>
      <c r="L147" s="36">
        <v>0</v>
      </c>
      <c r="M147" s="36"/>
      <c r="N147" s="36">
        <v>-1153300</v>
      </c>
      <c r="O147" s="36"/>
    </row>
    <row r="148" spans="3:15" x14ac:dyDescent="0.25">
      <c r="C148" s="11" t="s">
        <v>343</v>
      </c>
      <c r="D148" s="155">
        <v>0</v>
      </c>
      <c r="E148" s="39"/>
      <c r="F148" s="39">
        <f>SUM(F146:F147)</f>
        <v>1758137</v>
      </c>
      <c r="G148" s="39"/>
      <c r="H148" s="155">
        <v>0</v>
      </c>
      <c r="I148" s="157"/>
      <c r="J148" s="155">
        <v>0</v>
      </c>
      <c r="K148" s="39"/>
      <c r="L148" s="39">
        <f>SUM(L146:L147)</f>
        <v>41496000</v>
      </c>
      <c r="M148" s="39"/>
      <c r="N148" s="39">
        <f>SUM(N146:N147)</f>
        <v>3242900</v>
      </c>
      <c r="O148" s="39"/>
    </row>
    <row r="149" spans="3:15" x14ac:dyDescent="0.25">
      <c r="C149" s="1" t="s">
        <v>344</v>
      </c>
      <c r="D149" s="155">
        <v>0</v>
      </c>
      <c r="E149" s="36"/>
      <c r="F149" s="36">
        <v>-2827469</v>
      </c>
      <c r="G149" s="36"/>
      <c r="H149" s="155">
        <v>0</v>
      </c>
      <c r="I149" s="155"/>
      <c r="J149" s="155">
        <v>0</v>
      </c>
      <c r="K149" s="36"/>
      <c r="L149" s="36">
        <v>-28927000</v>
      </c>
      <c r="M149" s="36"/>
      <c r="N149" s="36">
        <v>-2716000</v>
      </c>
      <c r="O149" s="36"/>
    </row>
    <row r="150" spans="3:15" x14ac:dyDescent="0.25">
      <c r="C150" s="11" t="s">
        <v>345</v>
      </c>
      <c r="D150" s="155">
        <v>0</v>
      </c>
      <c r="E150" s="39"/>
      <c r="F150" s="39">
        <f>SUM(F148:F149)</f>
        <v>-1069332</v>
      </c>
      <c r="G150" s="39"/>
      <c r="H150" s="155">
        <v>0</v>
      </c>
      <c r="I150" s="157"/>
      <c r="J150" s="155">
        <v>0</v>
      </c>
      <c r="K150" s="39"/>
      <c r="L150" s="39">
        <f>SUM(L148:L149)</f>
        <v>12569000</v>
      </c>
      <c r="M150" s="39"/>
      <c r="N150" s="39">
        <f>SUM(N148:N149)</f>
        <v>526900</v>
      </c>
      <c r="O150" s="39"/>
    </row>
    <row r="151" spans="3:15" x14ac:dyDescent="0.25">
      <c r="C151" s="1" t="s">
        <v>346</v>
      </c>
      <c r="D151" s="155">
        <v>0</v>
      </c>
      <c r="E151" s="36"/>
      <c r="F151" s="36">
        <v>114288</v>
      </c>
      <c r="G151" s="36"/>
      <c r="H151" s="155">
        <v>0</v>
      </c>
      <c r="I151" s="155"/>
      <c r="J151" s="155">
        <v>0</v>
      </c>
      <c r="K151" s="36"/>
      <c r="L151" s="36">
        <v>-2561000</v>
      </c>
      <c r="M151" s="36"/>
      <c r="N151" s="36">
        <v>166500</v>
      </c>
      <c r="O151" s="36"/>
    </row>
    <row r="152" spans="3:15" x14ac:dyDescent="0.25">
      <c r="C152" s="1" t="s">
        <v>347</v>
      </c>
      <c r="D152" s="155">
        <v>0</v>
      </c>
      <c r="E152" s="34"/>
      <c r="F152" s="34">
        <f>SUM(F150:F151)</f>
        <v>-955044</v>
      </c>
      <c r="G152" s="34"/>
      <c r="H152" s="155">
        <v>0</v>
      </c>
      <c r="I152" s="156"/>
      <c r="J152" s="155">
        <v>0</v>
      </c>
      <c r="K152" s="34"/>
      <c r="L152" s="34">
        <f>SUM(L150:L151)</f>
        <v>10008000</v>
      </c>
      <c r="M152" s="34"/>
      <c r="N152" s="34">
        <f>SUM(N150:N151)</f>
        <v>693400</v>
      </c>
      <c r="O152" s="34"/>
    </row>
    <row r="153" spans="3:15" x14ac:dyDescent="0.25">
      <c r="C153" s="1" t="s">
        <v>348</v>
      </c>
      <c r="D153" s="155">
        <v>0</v>
      </c>
      <c r="E153" s="36"/>
      <c r="F153" s="36">
        <v>8444</v>
      </c>
      <c r="G153" s="36"/>
      <c r="H153" s="155">
        <v>0</v>
      </c>
      <c r="I153" s="155"/>
      <c r="J153" s="155">
        <v>0</v>
      </c>
      <c r="K153" s="36"/>
      <c r="L153" s="36">
        <v>-992000</v>
      </c>
      <c r="M153" s="36"/>
      <c r="N153" s="36">
        <v>-75400</v>
      </c>
      <c r="O153" s="36"/>
    </row>
    <row r="154" spans="3:15" x14ac:dyDescent="0.25">
      <c r="C154" s="11" t="s">
        <v>349</v>
      </c>
      <c r="D154" s="155">
        <v>0</v>
      </c>
      <c r="E154" s="39"/>
      <c r="F154" s="39">
        <f>SUM(F152:F153)</f>
        <v>-946600</v>
      </c>
      <c r="G154" s="39"/>
      <c r="H154" s="155">
        <v>0</v>
      </c>
      <c r="I154" s="157"/>
      <c r="J154" s="155">
        <v>0</v>
      </c>
      <c r="K154" s="39"/>
      <c r="L154" s="39">
        <f>SUM(L152:L153)</f>
        <v>9016000</v>
      </c>
      <c r="M154" s="39"/>
      <c r="N154" s="39">
        <f>SUM(N152:N153)</f>
        <v>618000</v>
      </c>
      <c r="O154" s="39"/>
    </row>
    <row r="155" spans="3:15" x14ac:dyDescent="0.25">
      <c r="C155" s="1" t="s">
        <v>350</v>
      </c>
      <c r="D155" s="155">
        <v>0</v>
      </c>
      <c r="E155" s="36"/>
      <c r="F155" s="36">
        <v>333136</v>
      </c>
      <c r="G155" s="36"/>
      <c r="H155" s="155">
        <v>0</v>
      </c>
      <c r="I155" s="155"/>
      <c r="J155" s="155">
        <v>0</v>
      </c>
      <c r="K155" s="36"/>
      <c r="L155" s="36">
        <v>2865000</v>
      </c>
      <c r="M155" s="36"/>
      <c r="N155" s="36">
        <v>709100</v>
      </c>
      <c r="O155" s="36"/>
    </row>
    <row r="156" spans="3:15" x14ac:dyDescent="0.25">
      <c r="C156" s="1" t="s">
        <v>351</v>
      </c>
      <c r="D156" s="155">
        <v>0</v>
      </c>
      <c r="E156" s="36"/>
      <c r="F156" s="36">
        <v>132378</v>
      </c>
      <c r="G156" s="36"/>
      <c r="H156" s="155">
        <v>0</v>
      </c>
      <c r="I156" s="155"/>
      <c r="J156" s="155">
        <v>0</v>
      </c>
      <c r="K156" s="36"/>
      <c r="L156" s="36">
        <v>4478000</v>
      </c>
      <c r="M156" s="36"/>
      <c r="N156" s="36">
        <v>171500</v>
      </c>
      <c r="O156" s="36"/>
    </row>
    <row r="157" spans="3:15" x14ac:dyDescent="0.25">
      <c r="D157" s="156"/>
      <c r="E157" s="34"/>
      <c r="F157" s="34"/>
      <c r="G157" s="34"/>
      <c r="H157" s="156"/>
      <c r="I157" s="156"/>
      <c r="J157" s="156"/>
      <c r="K157" s="34"/>
      <c r="L157" s="34"/>
      <c r="M157" s="34"/>
      <c r="N157" s="34"/>
      <c r="O157" s="34"/>
    </row>
    <row r="158" spans="3:15" x14ac:dyDescent="0.25">
      <c r="C158" s="1" t="s">
        <v>37</v>
      </c>
      <c r="D158" s="155">
        <v>0</v>
      </c>
      <c r="E158" s="34"/>
      <c r="F158" s="34">
        <f>F150+F156</f>
        <v>-936954</v>
      </c>
      <c r="G158" s="34"/>
      <c r="H158" s="155">
        <v>0</v>
      </c>
      <c r="I158" s="156"/>
      <c r="J158" s="155">
        <v>0</v>
      </c>
      <c r="K158" s="34"/>
      <c r="L158" s="34">
        <f>L150+L156</f>
        <v>17047000</v>
      </c>
      <c r="M158" s="34"/>
      <c r="N158" s="34">
        <f>N150+N156</f>
        <v>698400</v>
      </c>
      <c r="O158" s="34"/>
    </row>
    <row r="159" spans="3:15" x14ac:dyDescent="0.25">
      <c r="C159" s="1" t="s">
        <v>388</v>
      </c>
      <c r="D159" s="155">
        <v>0</v>
      </c>
      <c r="E159" s="34"/>
      <c r="F159" s="72">
        <f>F154/F155</f>
        <v>-2.8414821574372029</v>
      </c>
      <c r="G159" s="34"/>
      <c r="H159" s="155">
        <v>0</v>
      </c>
      <c r="I159" s="156"/>
      <c r="J159" s="155">
        <v>0</v>
      </c>
      <c r="K159" s="34"/>
      <c r="L159" s="72">
        <f>L154/L155</f>
        <v>3.1469458987783594</v>
      </c>
      <c r="M159" s="34"/>
      <c r="N159" s="72">
        <f>N154/N155</f>
        <v>0.87152728811169089</v>
      </c>
      <c r="O159" s="34"/>
    </row>
    <row r="160" spans="3:15" x14ac:dyDescent="0.25">
      <c r="D160" s="156"/>
      <c r="H160" s="156"/>
      <c r="I160" s="156"/>
      <c r="J160" s="156"/>
    </row>
    <row r="161" spans="3:15" x14ac:dyDescent="0.25">
      <c r="C161" s="1" t="s">
        <v>352</v>
      </c>
      <c r="D161" s="155">
        <v>0</v>
      </c>
      <c r="E161" s="42"/>
      <c r="F161" s="42">
        <f>-(IFERROR(F153/F152,0))</f>
        <v>8.8414774607243219E-3</v>
      </c>
      <c r="G161" s="42"/>
      <c r="H161" s="155">
        <v>0</v>
      </c>
      <c r="I161" s="156"/>
      <c r="J161" s="155">
        <v>0</v>
      </c>
      <c r="K161" s="42"/>
      <c r="L161" s="42">
        <f>-(IFERROR(L153/L152,0))</f>
        <v>9.9120703437250199E-2</v>
      </c>
      <c r="M161" s="42"/>
      <c r="N161" s="42">
        <f>-(IFERROR(N153/N152,0))</f>
        <v>0.10873954427458898</v>
      </c>
      <c r="O161" s="42"/>
    </row>
    <row r="162" spans="3:15" x14ac:dyDescent="0.25">
      <c r="D162" s="155"/>
      <c r="E162" s="42"/>
      <c r="F162" s="42"/>
      <c r="G162" s="42"/>
      <c r="H162" s="155"/>
      <c r="I162" s="156"/>
      <c r="J162" s="155"/>
      <c r="K162" s="42"/>
      <c r="L162" s="42"/>
      <c r="M162" s="42"/>
      <c r="N162" s="42"/>
      <c r="O162" s="42"/>
    </row>
    <row r="163" spans="3:15" x14ac:dyDescent="0.25">
      <c r="C163" s="1" t="s">
        <v>408</v>
      </c>
      <c r="D163" s="155">
        <v>0</v>
      </c>
      <c r="E163" s="42"/>
      <c r="F163" s="34">
        <f>1115171+71399+4099+17541</f>
        <v>1208210</v>
      </c>
      <c r="G163" s="42"/>
      <c r="H163" s="155">
        <v>0</v>
      </c>
      <c r="I163" s="156"/>
      <c r="J163" s="155">
        <v>0</v>
      </c>
      <c r="K163" s="42"/>
      <c r="L163" s="34">
        <v>5429000</v>
      </c>
      <c r="M163" s="34"/>
      <c r="N163" s="34">
        <v>729700</v>
      </c>
      <c r="O163" s="42"/>
    </row>
    <row r="164" spans="3:15" x14ac:dyDescent="0.25">
      <c r="C164" s="1" t="s">
        <v>409</v>
      </c>
      <c r="D164" s="155">
        <v>0</v>
      </c>
      <c r="E164" s="42"/>
      <c r="F164" s="34">
        <v>689</v>
      </c>
      <c r="G164" s="42"/>
      <c r="H164" s="155">
        <v>0</v>
      </c>
      <c r="I164" s="156"/>
      <c r="J164" s="155">
        <v>0</v>
      </c>
      <c r="K164" s="42"/>
      <c r="L164" s="34">
        <v>0</v>
      </c>
      <c r="M164" s="34"/>
      <c r="N164" s="34">
        <v>800</v>
      </c>
      <c r="O164" s="42"/>
    </row>
    <row r="165" spans="3:15" x14ac:dyDescent="0.25">
      <c r="C165" s="1" t="s">
        <v>410</v>
      </c>
      <c r="D165" s="155">
        <v>0</v>
      </c>
      <c r="E165" s="42"/>
      <c r="F165" s="34">
        <v>-57558</v>
      </c>
      <c r="G165" s="42"/>
      <c r="H165" s="155">
        <v>0</v>
      </c>
      <c r="I165" s="156"/>
      <c r="J165" s="155">
        <v>0</v>
      </c>
      <c r="K165" s="42"/>
      <c r="L165" s="34">
        <v>-2042000</v>
      </c>
      <c r="M165" s="34"/>
      <c r="N165" s="34">
        <v>-237900</v>
      </c>
      <c r="O165" s="42"/>
    </row>
    <row r="166" spans="3:15" x14ac:dyDescent="0.25">
      <c r="D166" s="155"/>
      <c r="E166" s="42"/>
      <c r="F166" s="34"/>
      <c r="G166" s="42"/>
      <c r="H166" s="155"/>
      <c r="I166" s="156"/>
      <c r="J166" s="155"/>
      <c r="K166" s="42"/>
      <c r="L166" s="34"/>
      <c r="M166" s="34"/>
      <c r="N166" s="34"/>
      <c r="O166" s="42"/>
    </row>
    <row r="167" spans="3:15" x14ac:dyDescent="0.25">
      <c r="C167" s="1" t="s">
        <v>39</v>
      </c>
      <c r="D167" s="155">
        <v>0</v>
      </c>
      <c r="E167" s="42"/>
      <c r="F167" s="34">
        <f>F168+F156</f>
        <v>271256</v>
      </c>
      <c r="G167" s="42"/>
      <c r="H167" s="155">
        <v>0</v>
      </c>
      <c r="I167" s="156"/>
      <c r="J167" s="155">
        <v>0</v>
      </c>
      <c r="K167" s="42"/>
      <c r="L167" s="34">
        <f>L168+L156</f>
        <v>22476000</v>
      </c>
      <c r="M167" s="34"/>
      <c r="N167" s="34">
        <f>N168+N156</f>
        <v>1428100</v>
      </c>
      <c r="O167" s="42"/>
    </row>
    <row r="168" spans="3:15" x14ac:dyDescent="0.25">
      <c r="C168" s="1" t="s">
        <v>411</v>
      </c>
      <c r="D168" s="155">
        <v>0</v>
      </c>
      <c r="E168" s="42"/>
      <c r="F168" s="34">
        <f>F150+F163</f>
        <v>138878</v>
      </c>
      <c r="G168" s="42"/>
      <c r="H168" s="155">
        <v>0</v>
      </c>
      <c r="I168" s="156"/>
      <c r="J168" s="155">
        <v>0</v>
      </c>
      <c r="K168" s="42"/>
      <c r="L168" s="34">
        <f>L150+L163</f>
        <v>17998000</v>
      </c>
      <c r="M168" s="34"/>
      <c r="N168" s="34">
        <f>N150+N163</f>
        <v>1256600</v>
      </c>
      <c r="O168" s="42"/>
    </row>
    <row r="169" spans="3:15" x14ac:dyDescent="0.25">
      <c r="C169" s="1" t="s">
        <v>396</v>
      </c>
      <c r="D169" s="155">
        <v>0</v>
      </c>
      <c r="E169" s="42"/>
      <c r="F169" s="34">
        <f>F154+SUM(F163:F165)</f>
        <v>204741</v>
      </c>
      <c r="G169" s="42"/>
      <c r="H169" s="155">
        <v>0</v>
      </c>
      <c r="I169" s="156"/>
      <c r="J169" s="155">
        <v>0</v>
      </c>
      <c r="K169" s="42"/>
      <c r="L169" s="34">
        <f>L154+SUM(L163:L165)</f>
        <v>12403000</v>
      </c>
      <c r="M169" s="34"/>
      <c r="N169" s="34">
        <f>N154+SUM(N163:N165)</f>
        <v>1110600</v>
      </c>
      <c r="O169" s="42"/>
    </row>
    <row r="170" spans="3:15" x14ac:dyDescent="0.25">
      <c r="C170" s="1" t="s">
        <v>412</v>
      </c>
      <c r="D170" s="155">
        <v>0</v>
      </c>
      <c r="E170" s="42"/>
      <c r="F170" s="72">
        <f>F169/F155</f>
        <v>0.61458683540656067</v>
      </c>
      <c r="G170" s="42"/>
      <c r="H170" s="155">
        <v>0</v>
      </c>
      <c r="I170" s="156"/>
      <c r="J170" s="155">
        <v>0</v>
      </c>
      <c r="K170" s="42"/>
      <c r="L170" s="72">
        <f>L169/L155</f>
        <v>4.3291448516579409</v>
      </c>
      <c r="M170" s="72"/>
      <c r="N170" s="72">
        <f>N169/N155</f>
        <v>1.5662106896065435</v>
      </c>
      <c r="O170" s="42"/>
    </row>
    <row r="172" spans="3:15" x14ac:dyDescent="0.25">
      <c r="C172" s="50" t="s">
        <v>379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3:15" x14ac:dyDescent="0.25">
      <c r="C173" s="1" t="s">
        <v>380</v>
      </c>
      <c r="D173" s="34">
        <f>D92+D119-D146</f>
        <v>3427158</v>
      </c>
      <c r="E173" s="34"/>
      <c r="F173" s="34">
        <f>F92+F119-F146</f>
        <v>4386722</v>
      </c>
      <c r="G173" s="34"/>
      <c r="H173" s="34">
        <f>H92+H119-H146</f>
        <v>3131266</v>
      </c>
      <c r="I173" s="34"/>
      <c r="J173" s="34">
        <f>J92+J119-J146</f>
        <v>41525000</v>
      </c>
      <c r="K173" s="34"/>
      <c r="L173" s="34">
        <f>L92+L119-L146</f>
        <v>64076000</v>
      </c>
      <c r="M173" s="34"/>
      <c r="N173" s="34">
        <f>N92+N119-N146</f>
        <v>9893300</v>
      </c>
    </row>
    <row r="174" spans="3:15" x14ac:dyDescent="0.25">
      <c r="C174" s="1" t="s">
        <v>381</v>
      </c>
      <c r="D174" s="34">
        <f>D113+D140-D167</f>
        <v>823800</v>
      </c>
      <c r="E174" s="34"/>
      <c r="F174" s="34">
        <f t="shared" ref="F174:N174" si="2">F113+F140-F167</f>
        <v>892187</v>
      </c>
      <c r="G174" s="34"/>
      <c r="H174" s="34">
        <f t="shared" si="2"/>
        <v>718196</v>
      </c>
      <c r="I174" s="34"/>
      <c r="J174" s="34">
        <f t="shared" si="2"/>
        <v>17787000</v>
      </c>
      <c r="K174" s="34"/>
      <c r="L174" s="34">
        <f t="shared" si="2"/>
        <v>35514000</v>
      </c>
      <c r="M174" s="34"/>
      <c r="N174" s="34">
        <f t="shared" si="2"/>
        <v>3278200</v>
      </c>
    </row>
    <row r="175" spans="3:15" x14ac:dyDescent="0.25">
      <c r="C175" s="1" t="s">
        <v>382</v>
      </c>
      <c r="D175" s="34">
        <f>D114+D141-D168</f>
        <v>768044</v>
      </c>
      <c r="E175" s="34"/>
      <c r="F175" s="34">
        <f t="shared" ref="F175:N175" si="3">F114+F141-F168</f>
        <v>680538</v>
      </c>
      <c r="G175" s="34"/>
      <c r="H175" s="34">
        <f t="shared" si="3"/>
        <v>581901</v>
      </c>
      <c r="I175" s="34"/>
      <c r="J175" s="34">
        <f t="shared" si="3"/>
        <v>14156000</v>
      </c>
      <c r="K175" s="34"/>
      <c r="L175" s="34">
        <f t="shared" si="3"/>
        <v>27371000</v>
      </c>
      <c r="M175" s="34"/>
      <c r="N175" s="34">
        <f t="shared" si="3"/>
        <v>2926300</v>
      </c>
    </row>
    <row r="176" spans="3:15" x14ac:dyDescent="0.25">
      <c r="C176" s="1" t="s">
        <v>383</v>
      </c>
      <c r="D176" s="34">
        <f>D115+D142-D169</f>
        <v>746582</v>
      </c>
      <c r="E176" s="34"/>
      <c r="F176" s="34">
        <f t="shared" ref="F176:N176" si="4">F115+F142-F169</f>
        <v>657078</v>
      </c>
      <c r="G176" s="34"/>
      <c r="H176" s="34">
        <f t="shared" si="4"/>
        <v>515988</v>
      </c>
      <c r="I176" s="34"/>
      <c r="J176" s="34">
        <f t="shared" si="4"/>
        <v>11969000</v>
      </c>
      <c r="K176" s="34"/>
      <c r="L176" s="34">
        <f t="shared" si="4"/>
        <v>20984000</v>
      </c>
      <c r="M176" s="34"/>
      <c r="N176" s="34">
        <f t="shared" si="4"/>
        <v>2627900</v>
      </c>
    </row>
    <row r="177" spans="2:15" x14ac:dyDescent="0.25">
      <c r="C177" s="1" t="s">
        <v>384</v>
      </c>
      <c r="D177" s="72">
        <f>D116+D143-D170</f>
        <v>2.0540289210723248</v>
      </c>
      <c r="E177" s="72"/>
      <c r="F177" s="72">
        <f t="shared" ref="F177:N177" si="5">F116+F143-F170</f>
        <v>1.9658769423198408</v>
      </c>
      <c r="G177" s="72"/>
      <c r="H177" s="72">
        <f t="shared" si="5"/>
        <v>9.7001165544986279</v>
      </c>
      <c r="I177" s="72"/>
      <c r="J177" s="72">
        <f t="shared" si="5"/>
        <v>12.519874476987448</v>
      </c>
      <c r="K177" s="72"/>
      <c r="L177" s="72">
        <f t="shared" si="5"/>
        <v>7.2276409517475217</v>
      </c>
      <c r="M177" s="72"/>
      <c r="N177" s="72">
        <f t="shared" si="5"/>
        <v>3.6942800180010007</v>
      </c>
    </row>
    <row r="180" spans="2:15" x14ac:dyDescent="0.25">
      <c r="B180" s="1" t="s">
        <v>33</v>
      </c>
      <c r="C180" s="6" t="s">
        <v>312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8"/>
    </row>
    <row r="181" spans="2:15" x14ac:dyDescent="0.25">
      <c r="C181" s="152"/>
    </row>
    <row r="182" spans="2:15" x14ac:dyDescent="0.25">
      <c r="C182" s="50" t="s">
        <v>385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2:15" x14ac:dyDescent="0.25">
      <c r="C183" s="1" t="s">
        <v>21</v>
      </c>
    </row>
    <row r="184" spans="2:15" x14ac:dyDescent="0.25">
      <c r="C184" s="1" t="s">
        <v>353</v>
      </c>
      <c r="D184" s="34">
        <f>D92</f>
        <v>3427158</v>
      </c>
      <c r="F184" s="34">
        <f>F92</f>
        <v>3626396</v>
      </c>
      <c r="G184" s="34"/>
      <c r="H184" s="34">
        <f t="shared" ref="H184:N184" si="6">H92</f>
        <v>3131266</v>
      </c>
      <c r="I184" s="34"/>
      <c r="J184" s="34">
        <f t="shared" si="6"/>
        <v>41525000</v>
      </c>
      <c r="K184" s="34"/>
      <c r="L184" s="34">
        <f t="shared" si="6"/>
        <v>57399000</v>
      </c>
      <c r="M184" s="34"/>
      <c r="N184" s="34">
        <f t="shared" si="6"/>
        <v>9221500</v>
      </c>
    </row>
    <row r="185" spans="2:15" x14ac:dyDescent="0.25">
      <c r="C185" s="1" t="s">
        <v>354</v>
      </c>
      <c r="D185" s="36">
        <v>4121580</v>
      </c>
      <c r="E185" s="36"/>
      <c r="F185" s="36">
        <v>4683950</v>
      </c>
      <c r="G185" s="36"/>
      <c r="H185" s="36">
        <v>3696350</v>
      </c>
      <c r="I185" s="36"/>
      <c r="J185" s="36">
        <v>46128890</v>
      </c>
      <c r="K185" s="36"/>
      <c r="L185" s="36">
        <v>67119090</v>
      </c>
      <c r="M185" s="36"/>
      <c r="N185" s="36">
        <v>11294170</v>
      </c>
      <c r="O185" s="36"/>
    </row>
    <row r="186" spans="2:15" x14ac:dyDescent="0.25">
      <c r="C186" s="1" t="s">
        <v>355</v>
      </c>
      <c r="D186" s="36">
        <v>4930010</v>
      </c>
      <c r="E186" s="36"/>
      <c r="F186" s="36">
        <v>5917810</v>
      </c>
      <c r="G186" s="36"/>
      <c r="H186" s="36">
        <v>4286170</v>
      </c>
      <c r="I186" s="36"/>
      <c r="J186" s="36">
        <v>50529780</v>
      </c>
      <c r="K186" s="36"/>
      <c r="L186" s="36">
        <v>88996530</v>
      </c>
      <c r="M186" s="36"/>
      <c r="N186" s="36">
        <v>13571780</v>
      </c>
      <c r="O186" s="36"/>
    </row>
    <row r="187" spans="2:15" x14ac:dyDescent="0.25">
      <c r="C187" s="1" t="s">
        <v>356</v>
      </c>
      <c r="D187" s="36">
        <v>5917930</v>
      </c>
      <c r="E187" s="36"/>
      <c r="F187" s="36">
        <v>7336050</v>
      </c>
      <c r="G187" s="36"/>
      <c r="H187" s="36">
        <v>4969480</v>
      </c>
      <c r="I187" s="36"/>
      <c r="J187" s="36">
        <v>55674150</v>
      </c>
      <c r="K187" s="36"/>
      <c r="L187" s="36">
        <v>128323340</v>
      </c>
      <c r="M187" s="36"/>
      <c r="N187" s="36">
        <v>15403170</v>
      </c>
      <c r="O187" s="36"/>
    </row>
    <row r="188" spans="2:15" x14ac:dyDescent="0.25">
      <c r="C188" s="1" t="s">
        <v>357</v>
      </c>
      <c r="D188" s="36">
        <v>7004760</v>
      </c>
      <c r="E188" s="36"/>
      <c r="F188" s="36">
        <v>9046110</v>
      </c>
      <c r="G188" s="36"/>
      <c r="H188" s="36">
        <v>5599320</v>
      </c>
      <c r="I188" s="36"/>
      <c r="J188" s="36">
        <v>60206730</v>
      </c>
      <c r="K188" s="36"/>
      <c r="L188" s="36">
        <v>183116130</v>
      </c>
      <c r="M188" s="36"/>
      <c r="N188" s="36">
        <v>17086110</v>
      </c>
      <c r="O188" s="36"/>
    </row>
    <row r="189" spans="2:15" x14ac:dyDescent="0.25">
      <c r="C189" s="1" t="s">
        <v>387</v>
      </c>
      <c r="D189" s="36">
        <v>8193240</v>
      </c>
      <c r="E189" s="36"/>
      <c r="F189" s="36">
        <v>10999000</v>
      </c>
      <c r="G189" s="36"/>
      <c r="H189" s="36">
        <v>6614080</v>
      </c>
      <c r="I189" s="36"/>
      <c r="J189" s="36">
        <v>67639470</v>
      </c>
      <c r="K189" s="36"/>
      <c r="L189" s="36">
        <v>225395570</v>
      </c>
      <c r="M189" s="36"/>
      <c r="N189" s="36">
        <v>19171360</v>
      </c>
      <c r="O189" s="36"/>
    </row>
    <row r="190" spans="2:15" x14ac:dyDescent="0.25"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</row>
    <row r="191" spans="2:15" x14ac:dyDescent="0.25">
      <c r="C191" s="1" t="s">
        <v>39</v>
      </c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</row>
    <row r="192" spans="2:15" x14ac:dyDescent="0.25">
      <c r="C192" s="1" t="s">
        <v>353</v>
      </c>
      <c r="D192" s="34">
        <f>D113</f>
        <v>823800</v>
      </c>
      <c r="E192" s="34"/>
      <c r="F192" s="34">
        <f t="shared" ref="F192:N192" si="7">F113</f>
        <v>651381</v>
      </c>
      <c r="G192" s="34"/>
      <c r="H192" s="34">
        <f t="shared" si="7"/>
        <v>718196</v>
      </c>
      <c r="I192" s="34"/>
      <c r="J192" s="34">
        <f t="shared" si="7"/>
        <v>17787000</v>
      </c>
      <c r="K192" s="34"/>
      <c r="L192" s="34">
        <f t="shared" si="7"/>
        <v>31207000</v>
      </c>
      <c r="M192" s="34"/>
      <c r="N192" s="34">
        <f t="shared" si="7"/>
        <v>2995300</v>
      </c>
      <c r="O192" s="34"/>
    </row>
    <row r="193" spans="3:15" x14ac:dyDescent="0.25">
      <c r="C193" s="1" t="s">
        <v>354</v>
      </c>
      <c r="D193" s="36">
        <v>987200</v>
      </c>
      <c r="E193" s="36"/>
      <c r="F193" s="36">
        <v>710160</v>
      </c>
      <c r="G193" s="36"/>
      <c r="H193" s="36">
        <v>877440</v>
      </c>
      <c r="I193" s="36"/>
      <c r="J193" s="36">
        <v>18191960</v>
      </c>
      <c r="K193" s="36"/>
      <c r="L193" s="36">
        <v>36359120</v>
      </c>
      <c r="M193" s="36"/>
      <c r="N193" s="36">
        <v>3498640</v>
      </c>
      <c r="O193" s="36"/>
    </row>
    <row r="194" spans="3:15" x14ac:dyDescent="0.25">
      <c r="C194" s="1" t="s">
        <v>355</v>
      </c>
      <c r="D194" s="36">
        <v>1221230</v>
      </c>
      <c r="E194" s="36"/>
      <c r="F194" s="36">
        <v>909340</v>
      </c>
      <c r="G194" s="36"/>
      <c r="H194" s="36">
        <v>1067570</v>
      </c>
      <c r="I194" s="36"/>
      <c r="J194" s="36">
        <v>19354770</v>
      </c>
      <c r="K194" s="36"/>
      <c r="L194" s="36">
        <v>45937920</v>
      </c>
      <c r="M194" s="36"/>
      <c r="N194" s="36">
        <v>4212200</v>
      </c>
      <c r="O194" s="36"/>
    </row>
    <row r="195" spans="3:15" x14ac:dyDescent="0.25">
      <c r="C195" s="1" t="s">
        <v>356</v>
      </c>
      <c r="D195" s="36">
        <v>1537990</v>
      </c>
      <c r="E195" s="36"/>
      <c r="F195" s="36">
        <v>1225550</v>
      </c>
      <c r="G195" s="36"/>
      <c r="H195" s="36">
        <v>1320490</v>
      </c>
      <c r="I195" s="36"/>
      <c r="J195" s="36">
        <v>23400270</v>
      </c>
      <c r="K195" s="36"/>
      <c r="L195" s="36">
        <v>65653780</v>
      </c>
      <c r="M195" s="36"/>
      <c r="N195" s="36">
        <v>4989930</v>
      </c>
      <c r="O195" s="36"/>
    </row>
    <row r="196" spans="3:15" x14ac:dyDescent="0.25">
      <c r="C196" s="1" t="s">
        <v>357</v>
      </c>
      <c r="D196" s="154">
        <v>0</v>
      </c>
      <c r="E196" s="36"/>
      <c r="F196" s="36">
        <v>1738230</v>
      </c>
      <c r="G196" s="36"/>
      <c r="H196" s="36">
        <v>1545700</v>
      </c>
      <c r="I196" s="36"/>
      <c r="J196" s="36">
        <v>25757100</v>
      </c>
      <c r="K196" s="36"/>
      <c r="L196" s="36">
        <v>89171800</v>
      </c>
      <c r="M196" s="36"/>
      <c r="N196" s="154">
        <v>0</v>
      </c>
      <c r="O196" s="36"/>
    </row>
    <row r="197" spans="3:15" x14ac:dyDescent="0.25">
      <c r="C197" s="1" t="s">
        <v>387</v>
      </c>
      <c r="D197" s="154">
        <v>0</v>
      </c>
      <c r="E197" s="36"/>
      <c r="F197" s="36">
        <v>1953400</v>
      </c>
      <c r="G197" s="36"/>
      <c r="H197" s="36">
        <v>1808070</v>
      </c>
      <c r="I197" s="36"/>
      <c r="J197" s="36">
        <v>28755400</v>
      </c>
      <c r="K197" s="36"/>
      <c r="L197" s="36">
        <v>106015000</v>
      </c>
      <c r="M197" s="36"/>
      <c r="N197" s="154">
        <v>0</v>
      </c>
      <c r="O197" s="36"/>
    </row>
    <row r="198" spans="3:15" x14ac:dyDescent="0.25"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</row>
    <row r="199" spans="3:15" x14ac:dyDescent="0.25">
      <c r="C199" s="1" t="s">
        <v>411</v>
      </c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</row>
    <row r="200" spans="3:15" x14ac:dyDescent="0.25">
      <c r="C200" s="1" t="s">
        <v>353</v>
      </c>
      <c r="D200" s="34">
        <f>D114</f>
        <v>768044</v>
      </c>
      <c r="E200" s="34"/>
      <c r="F200" s="34">
        <f t="shared" ref="F200:N200" si="8">F114</f>
        <v>468873</v>
      </c>
      <c r="G200" s="34"/>
      <c r="H200" s="34">
        <f t="shared" si="8"/>
        <v>581901</v>
      </c>
      <c r="I200" s="34"/>
      <c r="J200" s="34">
        <f t="shared" si="8"/>
        <v>14156000</v>
      </c>
      <c r="K200" s="34"/>
      <c r="L200" s="34">
        <f t="shared" si="8"/>
        <v>25033000</v>
      </c>
      <c r="M200" s="34"/>
      <c r="N200" s="34">
        <f t="shared" si="8"/>
        <v>2651900</v>
      </c>
      <c r="O200" s="34"/>
    </row>
    <row r="201" spans="3:15" x14ac:dyDescent="0.25">
      <c r="C201" s="1" t="s">
        <v>354</v>
      </c>
      <c r="D201" s="36">
        <v>879310</v>
      </c>
      <c r="E201" s="36"/>
      <c r="F201" s="36">
        <v>489720</v>
      </c>
      <c r="G201" s="36"/>
      <c r="H201" s="36">
        <v>740300</v>
      </c>
      <c r="I201" s="36"/>
      <c r="J201" s="36">
        <v>15874340</v>
      </c>
      <c r="K201" s="36"/>
      <c r="L201" s="36">
        <v>28536000</v>
      </c>
      <c r="M201" s="36"/>
      <c r="N201" s="36">
        <v>3244140</v>
      </c>
      <c r="O201" s="36"/>
    </row>
    <row r="202" spans="3:15" x14ac:dyDescent="0.25">
      <c r="C202" s="1" t="s">
        <v>355</v>
      </c>
      <c r="D202" s="36">
        <v>1113080</v>
      </c>
      <c r="E202" s="36"/>
      <c r="F202" s="36">
        <v>739500</v>
      </c>
      <c r="G202" s="36"/>
      <c r="H202" s="36">
        <v>907850</v>
      </c>
      <c r="I202" s="36"/>
      <c r="J202" s="36">
        <v>17848180</v>
      </c>
      <c r="K202" s="36"/>
      <c r="L202" s="36">
        <v>34665560</v>
      </c>
      <c r="M202" s="36"/>
      <c r="N202" s="36">
        <v>3988560</v>
      </c>
      <c r="O202" s="36"/>
    </row>
    <row r="203" spans="3:15" x14ac:dyDescent="0.25">
      <c r="C203" s="1" t="s">
        <v>356</v>
      </c>
      <c r="D203" s="36">
        <v>1377870</v>
      </c>
      <c r="E203" s="36"/>
      <c r="F203" s="36">
        <v>1059080</v>
      </c>
      <c r="G203" s="36"/>
      <c r="H203" s="36">
        <v>1129550</v>
      </c>
      <c r="I203" s="36"/>
      <c r="J203" s="36">
        <v>20441950</v>
      </c>
      <c r="K203" s="36"/>
      <c r="L203" s="36">
        <v>46470190</v>
      </c>
      <c r="M203" s="36"/>
      <c r="N203" s="36">
        <v>4716700</v>
      </c>
      <c r="O203" s="36"/>
    </row>
    <row r="204" spans="3:15" x14ac:dyDescent="0.25">
      <c r="C204" s="1" t="s">
        <v>357</v>
      </c>
      <c r="D204" s="36">
        <v>1478100</v>
      </c>
      <c r="E204" s="36"/>
      <c r="F204" s="36">
        <v>1492450</v>
      </c>
      <c r="G204" s="36"/>
      <c r="H204" s="36">
        <v>1334570</v>
      </c>
      <c r="I204" s="36"/>
      <c r="J204" s="36">
        <v>24163970</v>
      </c>
      <c r="K204" s="36"/>
      <c r="L204" s="36">
        <v>66479000</v>
      </c>
      <c r="M204" s="36"/>
      <c r="N204" s="36">
        <v>5103800</v>
      </c>
      <c r="O204" s="36"/>
    </row>
    <row r="205" spans="3:15" x14ac:dyDescent="0.25">
      <c r="C205" s="1" t="s">
        <v>387</v>
      </c>
      <c r="D205" s="36">
        <v>1704700</v>
      </c>
      <c r="E205" s="36"/>
      <c r="F205" s="36">
        <v>1875050</v>
      </c>
      <c r="G205" s="36"/>
      <c r="H205" s="36">
        <v>1571500</v>
      </c>
      <c r="I205" s="36"/>
      <c r="J205" s="36">
        <v>26021100</v>
      </c>
      <c r="K205" s="36"/>
      <c r="L205" s="36">
        <v>83248330</v>
      </c>
      <c r="M205" s="36"/>
      <c r="N205" s="36">
        <v>5819100</v>
      </c>
      <c r="O205" s="36"/>
    </row>
    <row r="206" spans="3:15" x14ac:dyDescent="0.25"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</row>
    <row r="207" spans="3:15" x14ac:dyDescent="0.25">
      <c r="C207" s="1" t="s">
        <v>396</v>
      </c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</row>
    <row r="208" spans="3:15" x14ac:dyDescent="0.25">
      <c r="C208" s="1" t="s">
        <v>353</v>
      </c>
      <c r="D208" s="34">
        <f>D115</f>
        <v>746582</v>
      </c>
      <c r="E208" s="34"/>
      <c r="F208" s="34">
        <f t="shared" ref="F208:N208" si="9">F115</f>
        <v>514002</v>
      </c>
      <c r="G208" s="34"/>
      <c r="H208" s="34">
        <f t="shared" si="9"/>
        <v>515988</v>
      </c>
      <c r="I208" s="34"/>
      <c r="J208" s="34">
        <f t="shared" si="9"/>
        <v>11969000</v>
      </c>
      <c r="K208" s="34"/>
      <c r="L208" s="34">
        <f t="shared" si="9"/>
        <v>17284000</v>
      </c>
      <c r="M208" s="34"/>
      <c r="N208" s="34">
        <f t="shared" si="9"/>
        <v>2344500</v>
      </c>
      <c r="O208" s="34"/>
    </row>
    <row r="209" spans="3:15" x14ac:dyDescent="0.25">
      <c r="C209" s="1" t="s">
        <v>354</v>
      </c>
      <c r="D209" s="36">
        <v>797830</v>
      </c>
      <c r="E209" s="36"/>
      <c r="F209" s="36">
        <v>670010</v>
      </c>
      <c r="G209" s="36"/>
      <c r="H209" s="36">
        <v>646520</v>
      </c>
      <c r="I209" s="36"/>
      <c r="J209" s="36">
        <v>12360630</v>
      </c>
      <c r="K209" s="36"/>
      <c r="L209" s="36">
        <v>21860860</v>
      </c>
      <c r="M209" s="36"/>
      <c r="N209" s="36">
        <v>2836720</v>
      </c>
      <c r="O209" s="36"/>
    </row>
    <row r="210" spans="3:15" x14ac:dyDescent="0.25">
      <c r="C210" s="1" t="s">
        <v>355</v>
      </c>
      <c r="D210" s="36">
        <v>1019470</v>
      </c>
      <c r="E210" s="36"/>
      <c r="F210" s="36">
        <v>926220</v>
      </c>
      <c r="G210" s="36"/>
      <c r="H210" s="36">
        <v>793660</v>
      </c>
      <c r="I210" s="36"/>
      <c r="J210" s="36">
        <v>13906060</v>
      </c>
      <c r="K210" s="36"/>
      <c r="L210" s="36">
        <v>23799820</v>
      </c>
      <c r="M210" s="36"/>
      <c r="N210" s="36">
        <v>3355350</v>
      </c>
      <c r="O210" s="36"/>
    </row>
    <row r="211" spans="3:15" x14ac:dyDescent="0.25">
      <c r="C211" s="1" t="s">
        <v>356</v>
      </c>
      <c r="D211" s="36">
        <v>1244820</v>
      </c>
      <c r="E211" s="36"/>
      <c r="F211" s="36">
        <v>1303810</v>
      </c>
      <c r="G211" s="36"/>
      <c r="H211" s="36">
        <v>987160</v>
      </c>
      <c r="I211" s="36"/>
      <c r="J211" s="36">
        <v>15939180</v>
      </c>
      <c r="K211" s="36"/>
      <c r="L211" s="36">
        <v>32408430</v>
      </c>
      <c r="M211" s="36"/>
      <c r="N211" s="36">
        <v>3977230</v>
      </c>
      <c r="O211" s="36"/>
    </row>
    <row r="212" spans="3:15" x14ac:dyDescent="0.25">
      <c r="C212" s="1" t="s">
        <v>357</v>
      </c>
      <c r="D212" s="36">
        <v>1521940</v>
      </c>
      <c r="E212" s="36"/>
      <c r="F212" s="36">
        <v>1795600</v>
      </c>
      <c r="G212" s="36"/>
      <c r="H212" s="36">
        <v>1136900</v>
      </c>
      <c r="I212" s="36"/>
      <c r="J212" s="36">
        <v>18403430</v>
      </c>
      <c r="K212" s="36"/>
      <c r="L212" s="36">
        <v>47863030</v>
      </c>
      <c r="M212" s="36"/>
      <c r="N212" s="36">
        <v>4505420</v>
      </c>
      <c r="O212" s="36"/>
    </row>
    <row r="213" spans="3:15" x14ac:dyDescent="0.25">
      <c r="C213" s="1" t="s">
        <v>387</v>
      </c>
      <c r="D213" s="36">
        <v>1764200</v>
      </c>
      <c r="E213" s="36"/>
      <c r="F213" s="36">
        <v>2353050</v>
      </c>
      <c r="G213" s="36"/>
      <c r="H213" s="36">
        <v>1320350</v>
      </c>
      <c r="I213" s="36"/>
      <c r="J213" s="36">
        <v>18678500</v>
      </c>
      <c r="K213" s="36"/>
      <c r="L213" s="36">
        <v>61683400</v>
      </c>
      <c r="M213" s="36"/>
      <c r="N213" s="36">
        <v>5511920</v>
      </c>
      <c r="O213" s="36"/>
    </row>
    <row r="214" spans="3:15" x14ac:dyDescent="0.25"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</row>
    <row r="215" spans="3:15" x14ac:dyDescent="0.25">
      <c r="C215" s="1" t="s">
        <v>412</v>
      </c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</row>
    <row r="216" spans="3:15" x14ac:dyDescent="0.25">
      <c r="C216" s="1" t="s">
        <v>353</v>
      </c>
      <c r="D216" s="72">
        <f>D116</f>
        <v>2.0540289210723248</v>
      </c>
      <c r="E216" s="72"/>
      <c r="F216" s="72">
        <f t="shared" ref="F216:N216" si="10">F116</f>
        <v>1.5449088837926463</v>
      </c>
      <c r="G216" s="72"/>
      <c r="H216" s="72">
        <f t="shared" si="10"/>
        <v>9.7001165544986279</v>
      </c>
      <c r="I216" s="72"/>
      <c r="J216" s="72">
        <f t="shared" si="10"/>
        <v>12.519874476987448</v>
      </c>
      <c r="K216" s="72"/>
      <c r="L216" s="72">
        <f t="shared" si="10"/>
        <v>6.0307048150732729</v>
      </c>
      <c r="M216" s="72"/>
      <c r="N216" s="72">
        <f t="shared" si="10"/>
        <v>3.3053714930212887</v>
      </c>
      <c r="O216" s="72"/>
    </row>
    <row r="217" spans="3:15" x14ac:dyDescent="0.25">
      <c r="C217" s="1" t="s">
        <v>354</v>
      </c>
      <c r="D217" s="149">
        <v>2.17</v>
      </c>
      <c r="E217" s="149"/>
      <c r="F217" s="149">
        <v>1.79</v>
      </c>
      <c r="G217" s="149"/>
      <c r="H217" s="149">
        <v>12.45</v>
      </c>
      <c r="I217" s="149"/>
      <c r="J217" s="149">
        <v>13.19</v>
      </c>
      <c r="K217" s="149"/>
      <c r="L217" s="149">
        <v>7.44</v>
      </c>
      <c r="M217" s="149"/>
      <c r="N217" s="149">
        <v>3.69</v>
      </c>
      <c r="O217" s="149"/>
    </row>
    <row r="218" spans="3:15" x14ac:dyDescent="0.25">
      <c r="C218" s="1" t="s">
        <v>355</v>
      </c>
      <c r="D218" s="149">
        <v>2.64</v>
      </c>
      <c r="E218" s="149"/>
      <c r="F218" s="149">
        <v>2.4300000000000002</v>
      </c>
      <c r="G218" s="149"/>
      <c r="H218" s="149">
        <v>15.24</v>
      </c>
      <c r="I218" s="149"/>
      <c r="J218" s="149">
        <v>14.91</v>
      </c>
      <c r="K218" s="149"/>
      <c r="L218" s="149">
        <v>7.95</v>
      </c>
      <c r="M218" s="149"/>
      <c r="N218" s="149">
        <v>3.97</v>
      </c>
      <c r="O218" s="149"/>
    </row>
    <row r="219" spans="3:15" x14ac:dyDescent="0.25">
      <c r="C219" s="1" t="s">
        <v>356</v>
      </c>
      <c r="D219" s="149">
        <v>3.19</v>
      </c>
      <c r="E219" s="149"/>
      <c r="F219" s="149">
        <v>3.38</v>
      </c>
      <c r="G219" s="149"/>
      <c r="H219" s="149">
        <v>18.5</v>
      </c>
      <c r="I219" s="149"/>
      <c r="J219" s="149">
        <v>17.8</v>
      </c>
      <c r="K219" s="149"/>
      <c r="L219" s="149">
        <v>10.72</v>
      </c>
      <c r="M219" s="149"/>
      <c r="N219" s="149">
        <v>4.63</v>
      </c>
      <c r="O219" s="149"/>
    </row>
    <row r="220" spans="3:15" x14ac:dyDescent="0.25">
      <c r="C220" s="1" t="s">
        <v>357</v>
      </c>
      <c r="D220" s="149">
        <v>4.0599999999999996</v>
      </c>
      <c r="E220" s="149"/>
      <c r="F220" s="149">
        <v>4.53</v>
      </c>
      <c r="G220" s="149"/>
      <c r="H220" s="149">
        <v>20.37</v>
      </c>
      <c r="I220" s="149"/>
      <c r="J220" s="149">
        <v>20.96</v>
      </c>
      <c r="K220" s="149"/>
      <c r="L220" s="149">
        <v>15.88</v>
      </c>
      <c r="M220" s="149"/>
      <c r="N220" s="149">
        <v>5.34</v>
      </c>
      <c r="O220" s="149"/>
    </row>
    <row r="221" spans="3:15" x14ac:dyDescent="0.25">
      <c r="C221" s="1" t="s">
        <v>387</v>
      </c>
      <c r="D221" s="149">
        <v>4.6900000000000004</v>
      </c>
      <c r="E221" s="149"/>
      <c r="F221" s="149">
        <v>5.71</v>
      </c>
      <c r="G221" s="149"/>
      <c r="H221" s="149">
        <v>23.3</v>
      </c>
      <c r="I221" s="149"/>
      <c r="J221" s="149">
        <v>19.93</v>
      </c>
      <c r="K221" s="149"/>
      <c r="L221" s="149">
        <v>20.58</v>
      </c>
      <c r="M221" s="149"/>
      <c r="N221" s="149">
        <v>6.66</v>
      </c>
      <c r="O221" s="149"/>
    </row>
    <row r="223" spans="3:15" x14ac:dyDescent="0.25">
      <c r="C223" s="50" t="s">
        <v>386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3:15" x14ac:dyDescent="0.25">
      <c r="C224" s="1" t="s">
        <v>358</v>
      </c>
      <c r="D224" s="200">
        <v>46387</v>
      </c>
      <c r="E224" s="201"/>
      <c r="F224" s="200">
        <v>46053</v>
      </c>
      <c r="G224" s="201"/>
      <c r="H224" s="200">
        <v>46387</v>
      </c>
      <c r="I224" s="201"/>
      <c r="J224" s="200">
        <v>46053</v>
      </c>
      <c r="K224" s="201"/>
      <c r="L224" s="200">
        <v>46173</v>
      </c>
      <c r="M224" s="201"/>
      <c r="N224" s="200">
        <v>46234</v>
      </c>
    </row>
    <row r="225" spans="3:14" x14ac:dyDescent="0.25">
      <c r="C225" s="1" t="s">
        <v>359</v>
      </c>
      <c r="D225" s="200">
        <v>46022</v>
      </c>
      <c r="E225" s="202"/>
      <c r="F225" s="200">
        <v>46022</v>
      </c>
      <c r="G225" s="202"/>
      <c r="H225" s="200">
        <v>46022</v>
      </c>
      <c r="I225" s="202"/>
      <c r="J225" s="200">
        <v>46022</v>
      </c>
      <c r="K225" s="202"/>
      <c r="L225" s="200">
        <v>46022</v>
      </c>
      <c r="M225" s="202"/>
      <c r="N225" s="200">
        <v>46022</v>
      </c>
    </row>
    <row r="227" spans="3:14" x14ac:dyDescent="0.25">
      <c r="C227" s="1" t="s">
        <v>360</v>
      </c>
      <c r="D227" s="42">
        <f>YEARFRAC(D224,D225)</f>
        <v>1</v>
      </c>
      <c r="E227" s="42"/>
      <c r="F227" s="42">
        <f t="shared" ref="F227:N227" si="11">YEARFRAC(F224,F225)</f>
        <v>8.3333333333333329E-2</v>
      </c>
      <c r="G227" s="42"/>
      <c r="H227" s="42">
        <f t="shared" si="11"/>
        <v>1</v>
      </c>
      <c r="I227" s="42"/>
      <c r="J227" s="42">
        <f t="shared" si="11"/>
        <v>8.3333333333333329E-2</v>
      </c>
      <c r="K227" s="42"/>
      <c r="L227" s="42">
        <f t="shared" si="11"/>
        <v>0.41666666666666669</v>
      </c>
      <c r="M227" s="42"/>
      <c r="N227" s="42">
        <f t="shared" si="11"/>
        <v>0.58333333333333337</v>
      </c>
    </row>
    <row r="228" spans="3:14" x14ac:dyDescent="0.25">
      <c r="C228" s="1" t="s">
        <v>361</v>
      </c>
      <c r="D228" s="42">
        <f>1-D227</f>
        <v>0</v>
      </c>
      <c r="E228" s="42"/>
      <c r="F228" s="42">
        <f t="shared" ref="F228:N228" si="12">1-F227</f>
        <v>0.91666666666666663</v>
      </c>
      <c r="G228" s="42"/>
      <c r="H228" s="42">
        <f t="shared" si="12"/>
        <v>0</v>
      </c>
      <c r="I228" s="42"/>
      <c r="J228" s="42">
        <f t="shared" si="12"/>
        <v>0.91666666666666663</v>
      </c>
      <c r="K228" s="42"/>
      <c r="L228" s="42">
        <f t="shared" si="12"/>
        <v>0.58333333333333326</v>
      </c>
      <c r="M228" s="42"/>
      <c r="N228" s="42">
        <f t="shared" si="12"/>
        <v>0.41666666666666663</v>
      </c>
    </row>
    <row r="230" spans="3:14" x14ac:dyDescent="0.25">
      <c r="C230" s="1" t="s">
        <v>21</v>
      </c>
    </row>
    <row r="231" spans="3:14" x14ac:dyDescent="0.25">
      <c r="C231" s="1" t="s">
        <v>362</v>
      </c>
      <c r="D231" s="34">
        <f>D184*D$227+D185*D$228</f>
        <v>3427158</v>
      </c>
      <c r="E231" s="34"/>
      <c r="F231" s="34">
        <f t="shared" ref="F231:N231" si="13">F184*F$227+F185*F$228</f>
        <v>4595820.5</v>
      </c>
      <c r="G231" s="34"/>
      <c r="H231" s="34">
        <f t="shared" si="13"/>
        <v>3131266</v>
      </c>
      <c r="I231" s="34"/>
      <c r="J231" s="34">
        <f t="shared" si="13"/>
        <v>45745232.499999993</v>
      </c>
      <c r="K231" s="34"/>
      <c r="L231" s="34">
        <f t="shared" si="13"/>
        <v>63069052.499999993</v>
      </c>
      <c r="M231" s="34"/>
      <c r="N231" s="34">
        <f t="shared" si="13"/>
        <v>10085112.5</v>
      </c>
    </row>
    <row r="232" spans="3:14" x14ac:dyDescent="0.25">
      <c r="C232" s="1" t="s">
        <v>363</v>
      </c>
      <c r="D232" s="34">
        <f t="shared" ref="D232:N232" si="14">D185*D$227+D186*D$228</f>
        <v>4121580</v>
      </c>
      <c r="E232" s="34"/>
      <c r="F232" s="34">
        <f t="shared" si="14"/>
        <v>5814988.333333333</v>
      </c>
      <c r="G232" s="34"/>
      <c r="H232" s="34">
        <f t="shared" si="14"/>
        <v>3696350</v>
      </c>
      <c r="I232" s="34"/>
      <c r="J232" s="34">
        <f t="shared" si="14"/>
        <v>50163039.166666664</v>
      </c>
      <c r="K232" s="34"/>
      <c r="L232" s="34">
        <f t="shared" si="14"/>
        <v>79880930</v>
      </c>
      <c r="M232" s="34"/>
      <c r="N232" s="34">
        <f t="shared" si="14"/>
        <v>12243174.166666668</v>
      </c>
    </row>
    <row r="233" spans="3:14" x14ac:dyDescent="0.25">
      <c r="C233" s="1" t="s">
        <v>364</v>
      </c>
      <c r="D233" s="34">
        <f t="shared" ref="D233:N233" si="15">D186*D$227+D187*D$228</f>
        <v>4930010</v>
      </c>
      <c r="E233" s="34"/>
      <c r="F233" s="34">
        <f t="shared" si="15"/>
        <v>7217863.333333333</v>
      </c>
      <c r="G233" s="34"/>
      <c r="H233" s="34">
        <f t="shared" si="15"/>
        <v>4286170</v>
      </c>
      <c r="I233" s="34"/>
      <c r="J233" s="34">
        <f t="shared" si="15"/>
        <v>55245452.5</v>
      </c>
      <c r="K233" s="34"/>
      <c r="L233" s="34">
        <f t="shared" si="15"/>
        <v>111937169.16666666</v>
      </c>
      <c r="M233" s="34"/>
      <c r="N233" s="34">
        <f t="shared" si="15"/>
        <v>14334859.166666666</v>
      </c>
    </row>
    <row r="234" spans="3:14" x14ac:dyDescent="0.25">
      <c r="C234" s="1" t="s">
        <v>365</v>
      </c>
      <c r="D234" s="34">
        <f t="shared" ref="D234:N234" si="16">D187*D$227+D188*D$228</f>
        <v>5917930</v>
      </c>
      <c r="E234" s="34"/>
      <c r="F234" s="34">
        <f t="shared" si="16"/>
        <v>8903605</v>
      </c>
      <c r="G234" s="34"/>
      <c r="H234" s="34">
        <f t="shared" si="16"/>
        <v>4969480</v>
      </c>
      <c r="I234" s="34"/>
      <c r="J234" s="34">
        <f t="shared" si="16"/>
        <v>59829015</v>
      </c>
      <c r="K234" s="34"/>
      <c r="L234" s="34">
        <f t="shared" si="16"/>
        <v>160285800.83333331</v>
      </c>
      <c r="M234" s="34"/>
      <c r="N234" s="34">
        <f t="shared" si="16"/>
        <v>16104395</v>
      </c>
    </row>
    <row r="235" spans="3:14" x14ac:dyDescent="0.25">
      <c r="C235" s="1" t="s">
        <v>392</v>
      </c>
      <c r="D235" s="34">
        <f t="shared" ref="D235:N235" si="17">D188*D$227+D189*D$228</f>
        <v>7004760</v>
      </c>
      <c r="E235" s="34"/>
      <c r="F235" s="34">
        <f t="shared" si="17"/>
        <v>10836259.166666666</v>
      </c>
      <c r="G235" s="34"/>
      <c r="H235" s="34">
        <f t="shared" si="17"/>
        <v>5599320</v>
      </c>
      <c r="I235" s="34"/>
      <c r="J235" s="34">
        <f t="shared" si="17"/>
        <v>67020075</v>
      </c>
      <c r="K235" s="34"/>
      <c r="L235" s="34">
        <f t="shared" si="17"/>
        <v>207779136.66666666</v>
      </c>
      <c r="M235" s="34"/>
      <c r="N235" s="34">
        <f t="shared" si="17"/>
        <v>17954964.166666664</v>
      </c>
    </row>
    <row r="236" spans="3:14" x14ac:dyDescent="0.25"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spans="3:14" x14ac:dyDescent="0.25">
      <c r="C237" s="1" t="s">
        <v>39</v>
      </c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spans="3:14" x14ac:dyDescent="0.25">
      <c r="C238" s="1" t="s">
        <v>362</v>
      </c>
      <c r="D238" s="34">
        <f>D192*D$227+D193*D$228</f>
        <v>823800</v>
      </c>
      <c r="E238" s="34"/>
      <c r="F238" s="34">
        <f t="shared" ref="F238:N238" si="18">F192*F$227+F193*F$228</f>
        <v>705261.75</v>
      </c>
      <c r="G238" s="34"/>
      <c r="H238" s="34">
        <f t="shared" si="18"/>
        <v>718196</v>
      </c>
      <c r="I238" s="34"/>
      <c r="J238" s="34">
        <f t="shared" si="18"/>
        <v>18158213.333333332</v>
      </c>
      <c r="K238" s="34"/>
      <c r="L238" s="34">
        <f t="shared" si="18"/>
        <v>34212403.333333328</v>
      </c>
      <c r="M238" s="34"/>
      <c r="N238" s="34">
        <f t="shared" si="18"/>
        <v>3205025</v>
      </c>
    </row>
    <row r="239" spans="3:14" x14ac:dyDescent="0.25">
      <c r="C239" s="1" t="s">
        <v>363</v>
      </c>
      <c r="D239" s="34">
        <f t="shared" ref="D239:N239" si="19">D193*D$227+D194*D$228</f>
        <v>987200</v>
      </c>
      <c r="E239" s="34"/>
      <c r="F239" s="34">
        <f t="shared" si="19"/>
        <v>892741.66666666663</v>
      </c>
      <c r="G239" s="34"/>
      <c r="H239" s="34">
        <f t="shared" si="19"/>
        <v>877440</v>
      </c>
      <c r="I239" s="34"/>
      <c r="J239" s="34">
        <f t="shared" si="19"/>
        <v>19257869.166666668</v>
      </c>
      <c r="K239" s="34"/>
      <c r="L239" s="34">
        <f t="shared" si="19"/>
        <v>41946753.333333328</v>
      </c>
      <c r="M239" s="34"/>
      <c r="N239" s="34">
        <f t="shared" si="19"/>
        <v>3795956.666666667</v>
      </c>
    </row>
    <row r="240" spans="3:14" x14ac:dyDescent="0.25">
      <c r="C240" s="1" t="s">
        <v>364</v>
      </c>
      <c r="D240" s="34">
        <f t="shared" ref="D240:N240" si="20">D194*D$227+D195*D$228</f>
        <v>1221230</v>
      </c>
      <c r="E240" s="34"/>
      <c r="F240" s="34">
        <f t="shared" si="20"/>
        <v>1199199.1666666665</v>
      </c>
      <c r="G240" s="34"/>
      <c r="H240" s="34">
        <f t="shared" si="20"/>
        <v>1067570</v>
      </c>
      <c r="I240" s="34"/>
      <c r="J240" s="34">
        <f t="shared" si="20"/>
        <v>23063145</v>
      </c>
      <c r="K240" s="34"/>
      <c r="L240" s="34">
        <f t="shared" si="20"/>
        <v>57438838.333333328</v>
      </c>
      <c r="M240" s="34"/>
      <c r="N240" s="34">
        <f t="shared" si="20"/>
        <v>4536254.166666667</v>
      </c>
    </row>
    <row r="241" spans="3:14" x14ac:dyDescent="0.25">
      <c r="C241" s="1" t="s">
        <v>365</v>
      </c>
      <c r="D241" s="154">
        <v>0</v>
      </c>
      <c r="E241" s="34"/>
      <c r="F241" s="34">
        <f t="shared" ref="F241:L241" si="21">F195*F$227+F196*F$228</f>
        <v>1695506.6666666667</v>
      </c>
      <c r="G241" s="34"/>
      <c r="H241" s="34">
        <f t="shared" si="21"/>
        <v>1320490</v>
      </c>
      <c r="I241" s="34"/>
      <c r="J241" s="34">
        <f t="shared" si="21"/>
        <v>25560697.5</v>
      </c>
      <c r="K241" s="34"/>
      <c r="L241" s="34">
        <f t="shared" si="21"/>
        <v>79372625</v>
      </c>
      <c r="M241" s="34"/>
      <c r="N241" s="154">
        <v>0</v>
      </c>
    </row>
    <row r="242" spans="3:14" x14ac:dyDescent="0.25">
      <c r="C242" s="1" t="s">
        <v>392</v>
      </c>
      <c r="D242" s="154">
        <v>0</v>
      </c>
      <c r="E242" s="34"/>
      <c r="F242" s="34">
        <f t="shared" ref="F242:L242" si="22">F196*F$227+F197*F$228</f>
        <v>1935469.1666666665</v>
      </c>
      <c r="G242" s="34"/>
      <c r="H242" s="34">
        <f t="shared" si="22"/>
        <v>1545700</v>
      </c>
      <c r="I242" s="34"/>
      <c r="J242" s="34">
        <f t="shared" si="22"/>
        <v>28505541.666666664</v>
      </c>
      <c r="K242" s="34"/>
      <c r="L242" s="34">
        <f t="shared" si="22"/>
        <v>98997000</v>
      </c>
      <c r="M242" s="34"/>
      <c r="N242" s="154">
        <v>0</v>
      </c>
    </row>
    <row r="243" spans="3:14" x14ac:dyDescent="0.25"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spans="3:14" x14ac:dyDescent="0.25">
      <c r="C244" s="1" t="s">
        <v>411</v>
      </c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spans="3:14" x14ac:dyDescent="0.25">
      <c r="C245" s="1" t="s">
        <v>362</v>
      </c>
      <c r="D245" s="34">
        <f>D200*D$227+D201*D$228</f>
        <v>768044</v>
      </c>
      <c r="E245" s="34"/>
      <c r="F245" s="34">
        <f t="shared" ref="F245:N245" si="23">F200*F$227+F201*F$228</f>
        <v>487982.75</v>
      </c>
      <c r="G245" s="34"/>
      <c r="H245" s="34">
        <f t="shared" si="23"/>
        <v>581901</v>
      </c>
      <c r="I245" s="34"/>
      <c r="J245" s="34">
        <f t="shared" si="23"/>
        <v>15731144.999999998</v>
      </c>
      <c r="K245" s="34"/>
      <c r="L245" s="34">
        <f t="shared" si="23"/>
        <v>27076416.666666664</v>
      </c>
      <c r="M245" s="34"/>
      <c r="N245" s="34">
        <f t="shared" si="23"/>
        <v>2898666.6666666665</v>
      </c>
    </row>
    <row r="246" spans="3:14" x14ac:dyDescent="0.25">
      <c r="C246" s="1" t="s">
        <v>363</v>
      </c>
      <c r="D246" s="34">
        <f t="shared" ref="D246:N246" si="24">D201*D$227+D202*D$228</f>
        <v>879310</v>
      </c>
      <c r="E246" s="34"/>
      <c r="F246" s="34">
        <f t="shared" si="24"/>
        <v>718685</v>
      </c>
      <c r="G246" s="34"/>
      <c r="H246" s="34">
        <f t="shared" si="24"/>
        <v>740300</v>
      </c>
      <c r="I246" s="34"/>
      <c r="J246" s="34">
        <f t="shared" si="24"/>
        <v>17683693.333333332</v>
      </c>
      <c r="K246" s="34"/>
      <c r="L246" s="34">
        <f t="shared" si="24"/>
        <v>32111576.666666664</v>
      </c>
      <c r="M246" s="34"/>
      <c r="N246" s="34">
        <f t="shared" si="24"/>
        <v>3554315</v>
      </c>
    </row>
    <row r="247" spans="3:14" x14ac:dyDescent="0.25">
      <c r="C247" s="1" t="s">
        <v>364</v>
      </c>
      <c r="D247" s="34">
        <f t="shared" ref="D247:N247" si="25">D202*D$227+D203*D$228</f>
        <v>1113080</v>
      </c>
      <c r="E247" s="34"/>
      <c r="F247" s="34">
        <f t="shared" si="25"/>
        <v>1032448.3333333333</v>
      </c>
      <c r="G247" s="34"/>
      <c r="H247" s="34">
        <f t="shared" si="25"/>
        <v>907850</v>
      </c>
      <c r="I247" s="34"/>
      <c r="J247" s="34">
        <f t="shared" si="25"/>
        <v>20225802.499999996</v>
      </c>
      <c r="K247" s="34"/>
      <c r="L247" s="34">
        <f t="shared" si="25"/>
        <v>41551594.166666664</v>
      </c>
      <c r="M247" s="34"/>
      <c r="N247" s="34">
        <f t="shared" si="25"/>
        <v>4291951.666666666</v>
      </c>
    </row>
    <row r="248" spans="3:14" x14ac:dyDescent="0.25">
      <c r="C248" s="1" t="s">
        <v>365</v>
      </c>
      <c r="D248" s="34">
        <f t="shared" ref="D248:N248" si="26">D203*D$227+D204*D$228</f>
        <v>1377870</v>
      </c>
      <c r="E248" s="34"/>
      <c r="F248" s="34">
        <f t="shared" si="26"/>
        <v>1456335.8333333333</v>
      </c>
      <c r="G248" s="34"/>
      <c r="H248" s="34">
        <f t="shared" si="26"/>
        <v>1129550</v>
      </c>
      <c r="I248" s="34"/>
      <c r="J248" s="34">
        <f t="shared" si="26"/>
        <v>23853801.666666664</v>
      </c>
      <c r="K248" s="34"/>
      <c r="L248" s="34">
        <f t="shared" si="26"/>
        <v>58141995.833333328</v>
      </c>
      <c r="M248" s="34"/>
      <c r="N248" s="34">
        <f t="shared" si="26"/>
        <v>4877991.666666666</v>
      </c>
    </row>
    <row r="249" spans="3:14" x14ac:dyDescent="0.25">
      <c r="C249" s="1" t="s">
        <v>392</v>
      </c>
      <c r="D249" s="34">
        <f t="shared" ref="D249:N249" si="27">D204*D$227+D205*D$228</f>
        <v>1478100</v>
      </c>
      <c r="E249" s="34"/>
      <c r="F249" s="34">
        <f t="shared" si="27"/>
        <v>1843166.6666666665</v>
      </c>
      <c r="G249" s="34"/>
      <c r="H249" s="34">
        <f t="shared" si="27"/>
        <v>1334570</v>
      </c>
      <c r="I249" s="34"/>
      <c r="J249" s="34">
        <f t="shared" si="27"/>
        <v>25866339.166666668</v>
      </c>
      <c r="K249" s="34"/>
      <c r="L249" s="34">
        <f t="shared" si="27"/>
        <v>76261109.166666657</v>
      </c>
      <c r="M249" s="34"/>
      <c r="N249" s="34">
        <f t="shared" si="27"/>
        <v>5401841.666666667</v>
      </c>
    </row>
    <row r="250" spans="3:14" x14ac:dyDescent="0.25"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spans="3:14" x14ac:dyDescent="0.25">
      <c r="C251" s="1" t="s">
        <v>396</v>
      </c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spans="3:14" x14ac:dyDescent="0.25">
      <c r="C252" s="1" t="s">
        <v>362</v>
      </c>
      <c r="D252" s="34">
        <f>D208*D$227+D209*D$228</f>
        <v>746582</v>
      </c>
      <c r="E252" s="34"/>
      <c r="F252" s="34">
        <f t="shared" ref="F252:N252" si="28">F208*F$227+F209*F$228</f>
        <v>657009.33333333326</v>
      </c>
      <c r="G252" s="34"/>
      <c r="H252" s="34">
        <f t="shared" si="28"/>
        <v>515988</v>
      </c>
      <c r="I252" s="34"/>
      <c r="J252" s="34">
        <f t="shared" si="28"/>
        <v>12327994.166666666</v>
      </c>
      <c r="K252" s="34"/>
      <c r="L252" s="34">
        <f t="shared" si="28"/>
        <v>19953835</v>
      </c>
      <c r="M252" s="34"/>
      <c r="N252" s="34">
        <f t="shared" si="28"/>
        <v>2549591.6666666665</v>
      </c>
    </row>
    <row r="253" spans="3:14" x14ac:dyDescent="0.25">
      <c r="C253" s="1" t="s">
        <v>363</v>
      </c>
      <c r="D253" s="34">
        <f t="shared" ref="D253:N253" si="29">D209*D$227+D210*D$228</f>
        <v>797830</v>
      </c>
      <c r="E253" s="34"/>
      <c r="F253" s="34">
        <f t="shared" si="29"/>
        <v>904869.16666666663</v>
      </c>
      <c r="G253" s="34"/>
      <c r="H253" s="34">
        <f t="shared" si="29"/>
        <v>646520</v>
      </c>
      <c r="I253" s="34"/>
      <c r="J253" s="34">
        <f t="shared" si="29"/>
        <v>13777274.166666666</v>
      </c>
      <c r="K253" s="34"/>
      <c r="L253" s="34">
        <f t="shared" si="29"/>
        <v>22991920</v>
      </c>
      <c r="M253" s="34"/>
      <c r="N253" s="34">
        <f t="shared" si="29"/>
        <v>3052815.833333333</v>
      </c>
    </row>
    <row r="254" spans="3:14" x14ac:dyDescent="0.25">
      <c r="C254" s="1" t="s">
        <v>364</v>
      </c>
      <c r="D254" s="34">
        <f t="shared" ref="D254:N254" si="30">D210*D$227+D211*D$228</f>
        <v>1019470</v>
      </c>
      <c r="E254" s="34"/>
      <c r="F254" s="34">
        <f t="shared" si="30"/>
        <v>1272344.1666666665</v>
      </c>
      <c r="G254" s="34"/>
      <c r="H254" s="34">
        <f t="shared" si="30"/>
        <v>793660</v>
      </c>
      <c r="I254" s="34"/>
      <c r="J254" s="34">
        <f t="shared" si="30"/>
        <v>15769753.333333334</v>
      </c>
      <c r="K254" s="34"/>
      <c r="L254" s="34">
        <f t="shared" si="30"/>
        <v>28821509.166666664</v>
      </c>
      <c r="M254" s="34"/>
      <c r="N254" s="34">
        <f t="shared" si="30"/>
        <v>3614466.666666667</v>
      </c>
    </row>
    <row r="255" spans="3:14" x14ac:dyDescent="0.25">
      <c r="C255" s="1" t="s">
        <v>365</v>
      </c>
      <c r="D255" s="34">
        <f t="shared" ref="D255:N255" si="31">D211*D$227+D212*D$228</f>
        <v>1244820</v>
      </c>
      <c r="E255" s="34"/>
      <c r="F255" s="34">
        <f t="shared" si="31"/>
        <v>1754617.4999999998</v>
      </c>
      <c r="G255" s="34"/>
      <c r="H255" s="34">
        <f t="shared" si="31"/>
        <v>987160</v>
      </c>
      <c r="I255" s="34"/>
      <c r="J255" s="34">
        <f t="shared" si="31"/>
        <v>18198075.833333332</v>
      </c>
      <c r="K255" s="34"/>
      <c r="L255" s="34">
        <f t="shared" si="31"/>
        <v>41423613.333333328</v>
      </c>
      <c r="M255" s="34"/>
      <c r="N255" s="34">
        <f t="shared" si="31"/>
        <v>4197309.166666667</v>
      </c>
    </row>
    <row r="256" spans="3:14" x14ac:dyDescent="0.25">
      <c r="C256" s="1" t="s">
        <v>392</v>
      </c>
      <c r="D256" s="34">
        <f t="shared" ref="D256:N256" si="32">D212*D$227+D213*D$228</f>
        <v>1521940</v>
      </c>
      <c r="E256" s="34"/>
      <c r="F256" s="34">
        <f t="shared" si="32"/>
        <v>2306595.8333333335</v>
      </c>
      <c r="G256" s="34"/>
      <c r="H256" s="34">
        <f t="shared" si="32"/>
        <v>1136900</v>
      </c>
      <c r="I256" s="34"/>
      <c r="J256" s="34">
        <f t="shared" si="32"/>
        <v>18655577.5</v>
      </c>
      <c r="K256" s="34"/>
      <c r="L256" s="34">
        <f t="shared" si="32"/>
        <v>55924912.5</v>
      </c>
      <c r="M256" s="34"/>
      <c r="N256" s="34">
        <f t="shared" si="32"/>
        <v>4924795</v>
      </c>
    </row>
    <row r="258" spans="3:14" x14ac:dyDescent="0.25">
      <c r="C258" s="1" t="s">
        <v>412</v>
      </c>
    </row>
    <row r="259" spans="3:14" x14ac:dyDescent="0.25">
      <c r="C259" s="1" t="s">
        <v>362</v>
      </c>
      <c r="D259" s="72">
        <f>D216*D$227+D217*D$228</f>
        <v>2.0540289210723248</v>
      </c>
      <c r="E259" s="72"/>
      <c r="F259" s="72">
        <f t="shared" ref="F259:N259" si="33">F216*F$227+F217*F$228</f>
        <v>1.7695757403160539</v>
      </c>
      <c r="G259" s="72"/>
      <c r="H259" s="72">
        <f t="shared" si="33"/>
        <v>9.7001165544986279</v>
      </c>
      <c r="I259" s="72"/>
      <c r="J259" s="72">
        <f t="shared" si="33"/>
        <v>13.13415620641562</v>
      </c>
      <c r="K259" s="72"/>
      <c r="L259" s="72">
        <f t="shared" si="33"/>
        <v>6.8527936729471968</v>
      </c>
      <c r="M259" s="72"/>
      <c r="N259" s="72">
        <f t="shared" si="33"/>
        <v>3.4656333709290852</v>
      </c>
    </row>
    <row r="260" spans="3:14" x14ac:dyDescent="0.25">
      <c r="C260" s="1" t="s">
        <v>363</v>
      </c>
      <c r="D260" s="72">
        <f t="shared" ref="D260:N260" si="34">D217*D$227+D218*D$228</f>
        <v>2.17</v>
      </c>
      <c r="E260" s="72"/>
      <c r="F260" s="72">
        <f t="shared" si="34"/>
        <v>2.3766666666666669</v>
      </c>
      <c r="G260" s="72"/>
      <c r="H260" s="72">
        <f t="shared" si="34"/>
        <v>12.45</v>
      </c>
      <c r="I260" s="72"/>
      <c r="J260" s="72">
        <f t="shared" si="34"/>
        <v>14.766666666666667</v>
      </c>
      <c r="K260" s="72"/>
      <c r="L260" s="72">
        <f t="shared" si="34"/>
        <v>7.7374999999999989</v>
      </c>
      <c r="M260" s="72"/>
      <c r="N260" s="72">
        <f t="shared" si="34"/>
        <v>3.8066666666666666</v>
      </c>
    </row>
    <row r="261" spans="3:14" x14ac:dyDescent="0.25">
      <c r="C261" s="1" t="s">
        <v>364</v>
      </c>
      <c r="D261" s="72">
        <f t="shared" ref="D261:N261" si="35">D218*D$227+D219*D$228</f>
        <v>2.64</v>
      </c>
      <c r="E261" s="72"/>
      <c r="F261" s="72">
        <f t="shared" si="35"/>
        <v>3.3008333333333333</v>
      </c>
      <c r="G261" s="72"/>
      <c r="H261" s="72">
        <f t="shared" si="35"/>
        <v>15.24</v>
      </c>
      <c r="I261" s="72"/>
      <c r="J261" s="72">
        <f t="shared" si="35"/>
        <v>17.559166666666666</v>
      </c>
      <c r="K261" s="72"/>
      <c r="L261" s="72">
        <f t="shared" si="35"/>
        <v>9.5658333333333339</v>
      </c>
      <c r="M261" s="72"/>
      <c r="N261" s="72">
        <f t="shared" si="35"/>
        <v>4.2450000000000001</v>
      </c>
    </row>
    <row r="262" spans="3:14" x14ac:dyDescent="0.25">
      <c r="C262" s="1" t="s">
        <v>365</v>
      </c>
      <c r="D262" s="72">
        <f t="shared" ref="D262:N262" si="36">D219*D$227+D220*D$228</f>
        <v>3.19</v>
      </c>
      <c r="E262" s="72"/>
      <c r="F262" s="72">
        <f t="shared" si="36"/>
        <v>4.4341666666666661</v>
      </c>
      <c r="G262" s="72"/>
      <c r="H262" s="72">
        <f t="shared" si="36"/>
        <v>18.5</v>
      </c>
      <c r="I262" s="72"/>
      <c r="J262" s="72">
        <f t="shared" si="36"/>
        <v>20.696666666666669</v>
      </c>
      <c r="K262" s="72"/>
      <c r="L262" s="72">
        <f t="shared" si="36"/>
        <v>13.729999999999999</v>
      </c>
      <c r="M262" s="72"/>
      <c r="N262" s="72">
        <f t="shared" si="36"/>
        <v>4.9258333333333333</v>
      </c>
    </row>
    <row r="263" spans="3:14" x14ac:dyDescent="0.25">
      <c r="C263" s="1" t="s">
        <v>392</v>
      </c>
      <c r="D263" s="72">
        <f t="shared" ref="D263:N263" si="37">D220*D$227+D221*D$228</f>
        <v>4.0599999999999996</v>
      </c>
      <c r="E263" s="72"/>
      <c r="F263" s="72">
        <f t="shared" si="37"/>
        <v>5.6116666666666672</v>
      </c>
      <c r="G263" s="72"/>
      <c r="H263" s="72">
        <f t="shared" si="37"/>
        <v>20.37</v>
      </c>
      <c r="I263" s="72"/>
      <c r="J263" s="72">
        <f t="shared" si="37"/>
        <v>20.015833333333333</v>
      </c>
      <c r="K263" s="72"/>
      <c r="L263" s="72">
        <f t="shared" si="37"/>
        <v>18.621666666666663</v>
      </c>
      <c r="M263" s="72"/>
      <c r="N263" s="72">
        <f t="shared" si="37"/>
        <v>5.8900000000000006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F2E1-8A65-4D34-B100-ADCC4F6F9649}">
  <dimension ref="C2:AY17"/>
  <sheetViews>
    <sheetView showGridLines="0" workbookViewId="0">
      <selection activeCell="H12" sqref="H12"/>
    </sheetView>
  </sheetViews>
  <sheetFormatPr defaultRowHeight="15" x14ac:dyDescent="0.25"/>
  <cols>
    <col min="1" max="2" width="2.140625" customWidth="1"/>
    <col min="3" max="4" width="19.140625" customWidth="1"/>
    <col min="5" max="6" width="20.28515625" customWidth="1"/>
    <col min="7" max="7" width="12.42578125" customWidth="1"/>
    <col min="8" max="8" width="21.28515625" customWidth="1"/>
    <col min="9" max="9" width="2.140625" customWidth="1"/>
    <col min="10" max="13" width="11.7109375" customWidth="1"/>
    <col min="14" max="14" width="2.140625" customWidth="1"/>
    <col min="15" max="15" width="11.7109375" customWidth="1"/>
    <col min="16" max="16" width="2.140625" customWidth="1"/>
    <col min="17" max="20" width="11.7109375" customWidth="1"/>
    <col min="21" max="21" width="2.140625" customWidth="1"/>
    <col min="22" max="22" width="11.7109375" customWidth="1"/>
    <col min="23" max="23" width="2.140625" customWidth="1"/>
    <col min="24" max="27" width="11.7109375" customWidth="1"/>
    <col min="28" max="28" width="2.140625" customWidth="1"/>
    <col min="29" max="32" width="11.7109375" customWidth="1"/>
    <col min="33" max="33" width="2.140625" customWidth="1"/>
    <col min="34" max="34" width="11.7109375" customWidth="1"/>
    <col min="35" max="35" width="2.140625" customWidth="1"/>
    <col min="36" max="39" width="11.7109375" customWidth="1"/>
    <col min="40" max="40" width="2.140625" customWidth="1"/>
    <col min="41" max="44" width="11.7109375" customWidth="1"/>
    <col min="45" max="45" width="1.42578125" customWidth="1"/>
    <col min="46" max="46" width="11.7109375" customWidth="1"/>
    <col min="47" max="47" width="2.140625" customWidth="1"/>
    <col min="48" max="51" width="11.7109375" customWidth="1"/>
  </cols>
  <sheetData>
    <row r="2" spans="3:51" ht="17.25" x14ac:dyDescent="0.3">
      <c r="C2" s="20" t="s">
        <v>401</v>
      </c>
      <c r="D2" s="3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2"/>
    </row>
    <row r="3" spans="3:51" x14ac:dyDescent="0.25">
      <c r="C3" s="25" t="s">
        <v>15</v>
      </c>
      <c r="D3" s="3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4"/>
    </row>
    <row r="5" spans="3:51" x14ac:dyDescent="0.25">
      <c r="C5" s="160"/>
      <c r="D5" s="161"/>
      <c r="E5" s="161"/>
      <c r="F5" s="161"/>
      <c r="G5" s="161"/>
      <c r="H5" s="161"/>
      <c r="I5" s="161"/>
      <c r="J5" s="162" t="s">
        <v>21</v>
      </c>
      <c r="K5" s="162"/>
      <c r="L5" s="162"/>
      <c r="M5" s="162"/>
      <c r="N5" s="161"/>
      <c r="O5" s="164" t="s">
        <v>394</v>
      </c>
      <c r="P5" s="182"/>
      <c r="Q5" s="162" t="s">
        <v>411</v>
      </c>
      <c r="R5" s="162"/>
      <c r="S5" s="162"/>
      <c r="T5" s="162"/>
      <c r="U5" s="161"/>
      <c r="V5" s="164" t="s">
        <v>394</v>
      </c>
      <c r="W5" s="182"/>
      <c r="X5" s="162" t="s">
        <v>418</v>
      </c>
      <c r="Y5" s="162"/>
      <c r="Z5" s="162"/>
      <c r="AA5" s="162"/>
      <c r="AB5" s="182"/>
      <c r="AC5" s="162" t="s">
        <v>39</v>
      </c>
      <c r="AD5" s="162"/>
      <c r="AE5" s="162"/>
      <c r="AF5" s="162"/>
      <c r="AG5" s="161"/>
      <c r="AH5" s="164" t="s">
        <v>394</v>
      </c>
      <c r="AI5" s="161"/>
      <c r="AJ5" s="162" t="s">
        <v>395</v>
      </c>
      <c r="AK5" s="162"/>
      <c r="AL5" s="162"/>
      <c r="AM5" s="162"/>
      <c r="AN5" s="161"/>
      <c r="AO5" s="162" t="s">
        <v>396</v>
      </c>
      <c r="AP5" s="162"/>
      <c r="AQ5" s="162"/>
      <c r="AR5" s="162"/>
      <c r="AS5" s="161"/>
      <c r="AT5" s="164" t="s">
        <v>394</v>
      </c>
      <c r="AU5" s="161"/>
      <c r="AV5" s="162" t="s">
        <v>397</v>
      </c>
      <c r="AW5" s="162"/>
      <c r="AX5" s="162"/>
      <c r="AY5" s="162"/>
    </row>
    <row r="6" spans="3:51" x14ac:dyDescent="0.25">
      <c r="C6" s="163" t="s">
        <v>3</v>
      </c>
      <c r="D6" s="163" t="s">
        <v>398</v>
      </c>
      <c r="E6" s="163" t="s">
        <v>341</v>
      </c>
      <c r="F6" s="163" t="s">
        <v>407</v>
      </c>
      <c r="G6" s="163" t="s">
        <v>399</v>
      </c>
      <c r="H6" s="163" t="s">
        <v>402</v>
      </c>
      <c r="I6" s="163"/>
      <c r="J6" s="179">
        <v>0</v>
      </c>
      <c r="K6" s="162" t="s">
        <v>400</v>
      </c>
      <c r="L6" s="178">
        <v>1</v>
      </c>
      <c r="M6" s="178">
        <v>2</v>
      </c>
      <c r="N6" s="163"/>
      <c r="O6" s="164" t="s">
        <v>414</v>
      </c>
      <c r="P6" s="181"/>
      <c r="Q6" s="179">
        <v>0</v>
      </c>
      <c r="R6" s="162" t="s">
        <v>400</v>
      </c>
      <c r="S6" s="178">
        <v>1</v>
      </c>
      <c r="T6" s="178">
        <v>2</v>
      </c>
      <c r="U6" s="163"/>
      <c r="V6" s="164" t="s">
        <v>414</v>
      </c>
      <c r="W6" s="181"/>
      <c r="X6" s="179">
        <v>0</v>
      </c>
      <c r="Y6" s="162" t="s">
        <v>400</v>
      </c>
      <c r="Z6" s="178">
        <v>1</v>
      </c>
      <c r="AA6" s="178">
        <v>2</v>
      </c>
      <c r="AB6" s="181"/>
      <c r="AC6" s="179">
        <v>0</v>
      </c>
      <c r="AD6" s="162" t="s">
        <v>400</v>
      </c>
      <c r="AE6" s="178">
        <v>1</v>
      </c>
      <c r="AF6" s="178">
        <v>2</v>
      </c>
      <c r="AG6" s="163"/>
      <c r="AH6" s="164" t="s">
        <v>414</v>
      </c>
      <c r="AI6" s="163"/>
      <c r="AJ6" s="179">
        <v>0</v>
      </c>
      <c r="AK6" s="162" t="s">
        <v>400</v>
      </c>
      <c r="AL6" s="178">
        <v>1</v>
      </c>
      <c r="AM6" s="178">
        <v>2</v>
      </c>
      <c r="AN6" s="163"/>
      <c r="AO6" s="179">
        <v>0</v>
      </c>
      <c r="AP6" s="162" t="s">
        <v>400</v>
      </c>
      <c r="AQ6" s="178">
        <v>1</v>
      </c>
      <c r="AR6" s="178">
        <v>2</v>
      </c>
      <c r="AS6" s="163"/>
      <c r="AT6" s="164" t="s">
        <v>414</v>
      </c>
      <c r="AU6" s="163"/>
      <c r="AV6" s="179">
        <v>0</v>
      </c>
      <c r="AW6" s="162" t="s">
        <v>400</v>
      </c>
      <c r="AX6" s="178">
        <v>1</v>
      </c>
      <c r="AY6" s="178">
        <v>2</v>
      </c>
    </row>
    <row r="7" spans="3:51" x14ac:dyDescent="0.25">
      <c r="C7" s="161" t="s">
        <v>207</v>
      </c>
      <c r="D7" t="str">
        <f>_xlfn.XLOOKUP(C7,Inputs!$D$10:$N$10,Inputs!$D$11:$N$11)</f>
        <v>Datadog</v>
      </c>
      <c r="E7" s="165">
        <f>_xlfn.XLOOKUP(C7,Inputs!$D$10:$N$10,Inputs!$D$86:$N$86)</f>
        <v>44177973.523539998</v>
      </c>
      <c r="F7" s="165">
        <f>_xlfn.XLOOKUP(C7,Inputs!$D$10:$N$10,Inputs!$D$77:$N$77)</f>
        <v>47373804.523539998</v>
      </c>
      <c r="G7" s="171">
        <f>_xlfn.XLOOKUP(C7,Inputs!$D$10:$N$10,Inputs!$D$12:$N$12)</f>
        <v>127.16</v>
      </c>
      <c r="H7" s="167">
        <f>_xlfn.XLOOKUP(C7,Inputs!$D$10:$N$10,Inputs!$D$84:$N$84)/'Operating Metrics'!AD7</f>
        <v>-3.8793772760378733</v>
      </c>
      <c r="J7" s="165">
        <f>_xlfn.XLOOKUP(C7,Inputs!$D$10:$N$10,Inputs!$D$184:$N$184)</f>
        <v>3427158</v>
      </c>
      <c r="K7" s="165">
        <f>_xlfn.XLOOKUP(C7,Inputs!$D$10:$N$10,Inputs!$D$173:$N$173)</f>
        <v>3427158</v>
      </c>
      <c r="L7" s="165">
        <f>_xlfn.XLOOKUP(C7,Inputs!$D$10:$N$10,Inputs!$D$185:$N$185)</f>
        <v>4121580</v>
      </c>
      <c r="M7" s="165">
        <f>_xlfn.XLOOKUP(C7,Inputs!$D$10:$N$10,Inputs!$D$186:$N$186)</f>
        <v>4930010</v>
      </c>
      <c r="O7" s="166">
        <f t="shared" ref="O7:O12" si="0">(M7/J7)^(1/($M$6-$J$6))-1</f>
        <v>0.19938009411398472</v>
      </c>
      <c r="P7" s="166"/>
      <c r="Q7" s="165">
        <f>_xlfn.XLOOKUP(C7,Inputs!$D$10:$N$10,Inputs!$D$200:$N$200)</f>
        <v>768044</v>
      </c>
      <c r="R7" s="165">
        <f>_xlfn.XLOOKUP(C7,Inputs!$D$10:$N$10,Inputs!$D$175:$N$175)</f>
        <v>768044</v>
      </c>
      <c r="S7" s="165">
        <f>_xlfn.XLOOKUP(C7,Inputs!$D$10:$N$10,Inputs!$D$201:$N$201)</f>
        <v>879310</v>
      </c>
      <c r="T7" s="165">
        <f>_xlfn.XLOOKUP(C7,Inputs!$D$10:$N$10,Inputs!$D$202:$N$202)</f>
        <v>1113080</v>
      </c>
      <c r="U7" s="166"/>
      <c r="V7" s="166">
        <f t="shared" ref="V7:V12" si="1">(T7/Q7)^(1/($T$6-$Q$6))-1</f>
        <v>0.20384379688484655</v>
      </c>
      <c r="W7" s="166"/>
      <c r="X7" s="166">
        <f t="shared" ref="X7:AA12" si="2">Q7/J7</f>
        <v>0.22410522071057126</v>
      </c>
      <c r="Y7" s="166">
        <f t="shared" si="2"/>
        <v>0.22410522071057126</v>
      </c>
      <c r="Z7" s="166">
        <f t="shared" si="2"/>
        <v>0.2133429412992105</v>
      </c>
      <c r="AA7" s="166">
        <f t="shared" si="2"/>
        <v>0.22577641830341114</v>
      </c>
      <c r="AB7" s="166"/>
      <c r="AC7" s="165">
        <f>_xlfn.XLOOKUP(C7,Inputs!$D$10:$N$10,Inputs!$D$192:$N$192)</f>
        <v>823800</v>
      </c>
      <c r="AD7" s="165">
        <f>_xlfn.XLOOKUP(C7,Inputs!$D$10:$N$10,Inputs!$D$174:$N$174)</f>
        <v>823800</v>
      </c>
      <c r="AE7" s="165">
        <f>_xlfn.XLOOKUP(C7,Inputs!$D$10:$N$10,Inputs!$D$193:$N$193)</f>
        <v>987200</v>
      </c>
      <c r="AF7" s="165">
        <f>_xlfn.XLOOKUP(C7,Inputs!$D$10:$N$10,Inputs!$D$194:$N$194)</f>
        <v>1221230</v>
      </c>
      <c r="AH7" s="166">
        <f t="shared" ref="AH7:AH12" si="3">(AF7/AC7)^(1/($AF$6-$AC$6))-1</f>
        <v>0.21755289702447134</v>
      </c>
      <c r="AJ7" s="166">
        <f t="shared" ref="AJ7:AM12" si="4">AC7/J7</f>
        <v>0.24037409422034234</v>
      </c>
      <c r="AK7" s="166">
        <f t="shared" si="4"/>
        <v>0.24037409422034234</v>
      </c>
      <c r="AL7" s="166">
        <f t="shared" si="4"/>
        <v>0.23951979580646257</v>
      </c>
      <c r="AM7" s="166">
        <f t="shared" si="4"/>
        <v>0.24771349348175764</v>
      </c>
      <c r="AO7" s="165">
        <f>_xlfn.XLOOKUP(C7,Inputs!$D$10:$N$10,Inputs!$D$208:$N$208)</f>
        <v>746582</v>
      </c>
      <c r="AP7" s="165">
        <f>_xlfn.XLOOKUP(C7,Inputs!$D$10:$N$10,Inputs!$D$176:$N$176)</f>
        <v>746582</v>
      </c>
      <c r="AQ7" s="165">
        <f>_xlfn.XLOOKUP(C7,Inputs!$D$10:$N$10,Inputs!$D$209:$N$209)</f>
        <v>797830</v>
      </c>
      <c r="AR7" s="165">
        <f>_xlfn.XLOOKUP(C7,Inputs!$D$10:$N$10,Inputs!$D$210:$N$210)</f>
        <v>1019470</v>
      </c>
      <c r="AT7" s="166">
        <f t="shared" ref="AT7:AT12" si="5">(AR7/AO7)^(1/($AR$6-$AO$6))-1</f>
        <v>0.16855314254605158</v>
      </c>
      <c r="AV7" s="166">
        <f t="shared" ref="AV7:AY12" si="6">AO7/J7</f>
        <v>0.21784288906435012</v>
      </c>
      <c r="AW7" s="166">
        <f t="shared" si="6"/>
        <v>0.21784288906435012</v>
      </c>
      <c r="AX7" s="166">
        <f t="shared" si="6"/>
        <v>0.19357382363074355</v>
      </c>
      <c r="AY7" s="166">
        <f t="shared" si="6"/>
        <v>0.20678862720359595</v>
      </c>
    </row>
    <row r="8" spans="3:51" x14ac:dyDescent="0.25">
      <c r="C8" s="161" t="s">
        <v>209</v>
      </c>
      <c r="D8" t="str">
        <f>_xlfn.XLOOKUP(C8,Inputs!$D$10:$N$10,Inputs!$D$11:$N$11)</f>
        <v>Snowflake</v>
      </c>
      <c r="E8" s="165">
        <f>_xlfn.XLOOKUP(C8,Inputs!$D$10:$N$10,Inputs!$D$86:$N$86)</f>
        <v>66703554.580279306</v>
      </c>
      <c r="F8" s="165">
        <f>_xlfn.XLOOKUP(C8,Inputs!$D$10:$N$10,Inputs!$D$77:$N$77)</f>
        <v>69648793.580279306</v>
      </c>
      <c r="G8" s="171">
        <f>_xlfn.XLOOKUP(C8,Inputs!$D$10:$N$10,Inputs!$D$12:$N$12)</f>
        <v>177.25</v>
      </c>
      <c r="H8" s="167">
        <f>_xlfn.XLOOKUP(C8,Inputs!$D$10:$N$10,Inputs!$D$84:$N$84)/'Operating Metrics'!AD8</f>
        <v>-3.3011453876821788</v>
      </c>
      <c r="J8" s="165">
        <f>_xlfn.XLOOKUP(C8,Inputs!$D$10:$N$10,Inputs!$D$184:$N$184)</f>
        <v>3626396</v>
      </c>
      <c r="K8" s="165">
        <f>_xlfn.XLOOKUP(C8,Inputs!$D$10:$N$10,Inputs!$D$173:$N$173)</f>
        <v>4386722</v>
      </c>
      <c r="L8" s="165">
        <f>_xlfn.XLOOKUP(C8,Inputs!$D$10:$N$10,Inputs!$D$185:$N$185)</f>
        <v>4683950</v>
      </c>
      <c r="M8" s="165">
        <f>_xlfn.XLOOKUP(C8,Inputs!$D$10:$N$10,Inputs!$D$186:$N$186)</f>
        <v>5917810</v>
      </c>
      <c r="O8" s="166">
        <f t="shared" si="0"/>
        <v>0.27744701308710651</v>
      </c>
      <c r="P8" s="166"/>
      <c r="Q8" s="165">
        <f>_xlfn.XLOOKUP(C8,Inputs!$D$10:$N$10,Inputs!$D$200:$N$200)</f>
        <v>468873</v>
      </c>
      <c r="R8" s="165">
        <f>_xlfn.XLOOKUP(C8,Inputs!$D$10:$N$10,Inputs!$D$175:$N$175)</f>
        <v>680538</v>
      </c>
      <c r="S8" s="165">
        <f>_xlfn.XLOOKUP(C8,Inputs!$D$10:$N$10,Inputs!$D$201:$N$201)</f>
        <v>489720</v>
      </c>
      <c r="T8" s="165">
        <f>_xlfn.XLOOKUP(C8,Inputs!$D$10:$N$10,Inputs!$D$202:$N$202)</f>
        <v>739500</v>
      </c>
      <c r="U8" s="166"/>
      <c r="V8" s="166">
        <f t="shared" si="1"/>
        <v>0.25586071932965426</v>
      </c>
      <c r="W8" s="166"/>
      <c r="X8" s="166">
        <f t="shared" si="2"/>
        <v>0.12929448411039501</v>
      </c>
      <c r="Y8" s="166">
        <f t="shared" si="2"/>
        <v>0.15513588506406378</v>
      </c>
      <c r="Z8" s="166">
        <f t="shared" si="2"/>
        <v>0.10455278130637603</v>
      </c>
      <c r="AA8" s="166">
        <f t="shared" si="2"/>
        <v>0.12496176795131983</v>
      </c>
      <c r="AB8" s="166"/>
      <c r="AC8" s="165">
        <f>_xlfn.XLOOKUP(C8,Inputs!$D$10:$N$10,Inputs!$D$192:$N$192)</f>
        <v>651381</v>
      </c>
      <c r="AD8" s="165">
        <f>_xlfn.XLOOKUP(C8,Inputs!$D$10:$N$10,Inputs!$D$174:$N$174)</f>
        <v>892187</v>
      </c>
      <c r="AE8" s="165">
        <f>_xlfn.XLOOKUP(C8,Inputs!$D$10:$N$10,Inputs!$D$193:$N$193)</f>
        <v>710160</v>
      </c>
      <c r="AF8" s="165">
        <f>_xlfn.XLOOKUP(C8,Inputs!$D$10:$N$10,Inputs!$D$194:$N$194)</f>
        <v>909340</v>
      </c>
      <c r="AH8" s="166">
        <f t="shared" si="3"/>
        <v>0.18153231558122451</v>
      </c>
      <c r="AJ8" s="166">
        <f t="shared" si="4"/>
        <v>0.17962213724038964</v>
      </c>
      <c r="AK8" s="166">
        <f t="shared" si="4"/>
        <v>0.2033835287488015</v>
      </c>
      <c r="AL8" s="166">
        <f t="shared" si="4"/>
        <v>0.15161562356558034</v>
      </c>
      <c r="AM8" s="166">
        <f t="shared" si="4"/>
        <v>0.15366157412961889</v>
      </c>
      <c r="AO8" s="165">
        <f>_xlfn.XLOOKUP(C8,Inputs!$D$10:$N$10,Inputs!$D$208:$N$208)</f>
        <v>514002</v>
      </c>
      <c r="AP8" s="165">
        <f>_xlfn.XLOOKUP(C8,Inputs!$D$10:$N$10,Inputs!$D$176:$N$176)</f>
        <v>657078</v>
      </c>
      <c r="AQ8" s="165">
        <f>_xlfn.XLOOKUP(C8,Inputs!$D$10:$N$10,Inputs!$D$209:$N$209)</f>
        <v>670010</v>
      </c>
      <c r="AR8" s="165">
        <f>_xlfn.XLOOKUP(C8,Inputs!$D$10:$N$10,Inputs!$D$210:$N$210)</f>
        <v>926220</v>
      </c>
      <c r="AT8" s="166">
        <f t="shared" si="5"/>
        <v>0.34237752670862198</v>
      </c>
      <c r="AV8" s="166">
        <f t="shared" si="6"/>
        <v>0.14173907096742883</v>
      </c>
      <c r="AW8" s="166">
        <f t="shared" si="6"/>
        <v>0.14978792820698461</v>
      </c>
      <c r="AX8" s="166">
        <f t="shared" si="6"/>
        <v>0.1430437985033999</v>
      </c>
      <c r="AY8" s="166">
        <f t="shared" si="6"/>
        <v>0.15651398067866323</v>
      </c>
    </row>
    <row r="9" spans="3:51" x14ac:dyDescent="0.25">
      <c r="C9" s="161" t="s">
        <v>211</v>
      </c>
      <c r="D9" t="str">
        <f>_xlfn.XLOOKUP(C9,Inputs!$D$10:$N$10,Inputs!$D$11:$N$11)</f>
        <v>Hubspot</v>
      </c>
      <c r="E9" s="165">
        <f>_xlfn.XLOOKUP(C9,Inputs!$D$10:$N$10,Inputs!$D$86:$N$86)</f>
        <v>12388367.019679999</v>
      </c>
      <c r="F9" s="165">
        <f>_xlfn.XLOOKUP(C9,Inputs!$D$10:$N$10,Inputs!$D$77:$N$77)</f>
        <v>13966518.019679999</v>
      </c>
      <c r="G9" s="171">
        <f>_xlfn.XLOOKUP(C9,Inputs!$D$10:$N$10,Inputs!$D$12:$N$12)</f>
        <v>257.63</v>
      </c>
      <c r="H9" s="167">
        <f>_xlfn.XLOOKUP(C9,Inputs!$D$10:$N$10,Inputs!$D$84:$N$84)/'Operating Metrics'!AD9</f>
        <v>-2.1973820516961942</v>
      </c>
      <c r="J9" s="165">
        <f>_xlfn.XLOOKUP(C9,Inputs!$D$10:$N$10,Inputs!$D$184:$N$184)</f>
        <v>3131266</v>
      </c>
      <c r="K9" s="165">
        <f>_xlfn.XLOOKUP(C9,Inputs!$D$10:$N$10,Inputs!$D$173:$N$173)</f>
        <v>3131266</v>
      </c>
      <c r="L9" s="165">
        <f>_xlfn.XLOOKUP(C9,Inputs!$D$10:$N$10,Inputs!$D$185:$N$185)</f>
        <v>3696350</v>
      </c>
      <c r="M9" s="165">
        <f>_xlfn.XLOOKUP(C9,Inputs!$D$10:$N$10,Inputs!$D$186:$N$186)</f>
        <v>4286170</v>
      </c>
      <c r="O9" s="166">
        <f t="shared" si="0"/>
        <v>0.16996997060929586</v>
      </c>
      <c r="P9" s="166"/>
      <c r="Q9" s="165">
        <f>_xlfn.XLOOKUP(C9,Inputs!$D$10:$N$10,Inputs!$D$200:$N$200)</f>
        <v>581901</v>
      </c>
      <c r="R9" s="165">
        <f>_xlfn.XLOOKUP(C9,Inputs!$D$10:$N$10,Inputs!$D$175:$N$175)</f>
        <v>581901</v>
      </c>
      <c r="S9" s="165">
        <f>_xlfn.XLOOKUP(C9,Inputs!$D$10:$N$10,Inputs!$D$201:$N$201)</f>
        <v>740300</v>
      </c>
      <c r="T9" s="165">
        <f>_xlfn.XLOOKUP(C9,Inputs!$D$10:$N$10,Inputs!$D$202:$N$202)</f>
        <v>907850</v>
      </c>
      <c r="U9" s="166"/>
      <c r="V9" s="166">
        <f t="shared" si="1"/>
        <v>0.24905768905780068</v>
      </c>
      <c r="W9" s="166"/>
      <c r="X9" s="166">
        <f t="shared" si="2"/>
        <v>0.18583569712697676</v>
      </c>
      <c r="Y9" s="166">
        <f t="shared" si="2"/>
        <v>0.18583569712697676</v>
      </c>
      <c r="Z9" s="166">
        <f t="shared" si="2"/>
        <v>0.20027865326605976</v>
      </c>
      <c r="AA9" s="166">
        <f t="shared" si="2"/>
        <v>0.21180914429432338</v>
      </c>
      <c r="AB9" s="166"/>
      <c r="AC9" s="165">
        <f>_xlfn.XLOOKUP(C9,Inputs!$D$10:$N$10,Inputs!$D$192:$N$192)</f>
        <v>718196</v>
      </c>
      <c r="AD9" s="165">
        <f>_xlfn.XLOOKUP(C9,Inputs!$D$10:$N$10,Inputs!$D$174:$N$174)</f>
        <v>718196</v>
      </c>
      <c r="AE9" s="165">
        <f>_xlfn.XLOOKUP(C9,Inputs!$D$10:$N$10,Inputs!$D$193:$N$193)</f>
        <v>877440</v>
      </c>
      <c r="AF9" s="165">
        <f>_xlfn.XLOOKUP(C9,Inputs!$D$10:$N$10,Inputs!$D$194:$N$194)</f>
        <v>1067570</v>
      </c>
      <c r="AH9" s="166">
        <f t="shared" si="3"/>
        <v>0.21920487225340035</v>
      </c>
      <c r="AJ9" s="166">
        <f t="shared" si="4"/>
        <v>0.22936282002231687</v>
      </c>
      <c r="AK9" s="166">
        <f t="shared" si="4"/>
        <v>0.22936282002231687</v>
      </c>
      <c r="AL9" s="166">
        <f t="shared" si="4"/>
        <v>0.2373801182247352</v>
      </c>
      <c r="AM9" s="166">
        <f t="shared" si="4"/>
        <v>0.24907318188499289</v>
      </c>
      <c r="AO9" s="165">
        <f>_xlfn.XLOOKUP(C9,Inputs!$D$10:$N$10,Inputs!$D$208:$N$208)</f>
        <v>515988</v>
      </c>
      <c r="AP9" s="165">
        <f>_xlfn.XLOOKUP(C9,Inputs!$D$10:$N$10,Inputs!$D$176:$N$176)</f>
        <v>515988</v>
      </c>
      <c r="AQ9" s="165">
        <f>_xlfn.XLOOKUP(C9,Inputs!$D$10:$N$10,Inputs!$D$209:$N$209)</f>
        <v>646520</v>
      </c>
      <c r="AR9" s="165">
        <f>_xlfn.XLOOKUP(C9,Inputs!$D$10:$N$10,Inputs!$D$210:$N$210)</f>
        <v>793660</v>
      </c>
      <c r="AT9" s="166">
        <f t="shared" si="5"/>
        <v>0.24021633024692224</v>
      </c>
      <c r="AV9" s="166">
        <f t="shared" si="6"/>
        <v>0.16478574480737185</v>
      </c>
      <c r="AW9" s="166">
        <f t="shared" si="6"/>
        <v>0.16478574480737185</v>
      </c>
      <c r="AX9" s="166">
        <f t="shared" si="6"/>
        <v>0.17490767919704572</v>
      </c>
      <c r="AY9" s="166">
        <f t="shared" si="6"/>
        <v>0.1851676438405383</v>
      </c>
    </row>
    <row r="10" spans="3:51" x14ac:dyDescent="0.25">
      <c r="C10" s="161" t="s">
        <v>213</v>
      </c>
      <c r="D10" t="str">
        <f>_xlfn.XLOOKUP(C10,Inputs!$D$10:$N$10,Inputs!$D$11:$N$11)</f>
        <v>Salesforce</v>
      </c>
      <c r="E10" s="165">
        <f>_xlfn.XLOOKUP(C10,Inputs!$D$10:$N$10,Inputs!$D$86:$N$86)</f>
        <v>195930600</v>
      </c>
      <c r="F10" s="165">
        <f>_xlfn.XLOOKUP(C10,Inputs!$D$10:$N$10,Inputs!$D$77:$N$77)</f>
        <v>188319600</v>
      </c>
      <c r="G10" s="171">
        <f>_xlfn.XLOOKUP(C10,Inputs!$D$10:$N$10,Inputs!$D$12:$N$12)</f>
        <v>199.28</v>
      </c>
      <c r="H10" s="167">
        <f>_xlfn.XLOOKUP(C10,Inputs!$D$10:$N$10,Inputs!$D$84:$N$84)/'Operating Metrics'!AD10</f>
        <v>0.42789677854612918</v>
      </c>
      <c r="J10" s="165">
        <f>_xlfn.XLOOKUP(C10,Inputs!$D$10:$N$10,Inputs!$D$184:$N$184)</f>
        <v>41525000</v>
      </c>
      <c r="K10" s="165">
        <f>_xlfn.XLOOKUP(C10,Inputs!$D$10:$N$10,Inputs!$D$173:$N$173)</f>
        <v>41525000</v>
      </c>
      <c r="L10" s="165">
        <f>_xlfn.XLOOKUP(C10,Inputs!$D$10:$N$10,Inputs!$D$185:$N$185)</f>
        <v>46128890</v>
      </c>
      <c r="M10" s="165">
        <f>_xlfn.XLOOKUP(C10,Inputs!$D$10:$N$10,Inputs!$D$186:$N$186)</f>
        <v>50529780</v>
      </c>
      <c r="O10" s="166">
        <f t="shared" si="0"/>
        <v>0.10311015626605258</v>
      </c>
      <c r="P10" s="166"/>
      <c r="Q10" s="165">
        <f>_xlfn.XLOOKUP(C10,Inputs!$D$10:$N$10,Inputs!$D$200:$N$200)</f>
        <v>14156000</v>
      </c>
      <c r="R10" s="165">
        <f>_xlfn.XLOOKUP(C10,Inputs!$D$10:$N$10,Inputs!$D$175:$N$175)</f>
        <v>14156000</v>
      </c>
      <c r="S10" s="165">
        <f>_xlfn.XLOOKUP(C10,Inputs!$D$10:$N$10,Inputs!$D$201:$N$201)</f>
        <v>15874340</v>
      </c>
      <c r="T10" s="165">
        <f>_xlfn.XLOOKUP(C10,Inputs!$D$10:$N$10,Inputs!$D$202:$N$202)</f>
        <v>17848180</v>
      </c>
      <c r="U10" s="166"/>
      <c r="V10" s="166">
        <f t="shared" si="1"/>
        <v>0.12286279364328556</v>
      </c>
      <c r="W10" s="166"/>
      <c r="X10" s="166">
        <f t="shared" si="2"/>
        <v>0.3409030704394943</v>
      </c>
      <c r="Y10" s="166">
        <f t="shared" si="2"/>
        <v>0.3409030704394943</v>
      </c>
      <c r="Z10" s="166">
        <f t="shared" si="2"/>
        <v>0.3441301102194308</v>
      </c>
      <c r="AA10" s="166">
        <f t="shared" si="2"/>
        <v>0.35322101145106904</v>
      </c>
      <c r="AB10" s="166"/>
      <c r="AC10" s="165">
        <f>_xlfn.XLOOKUP(C10,Inputs!$D$10:$N$10,Inputs!$D$192:$N$192)</f>
        <v>17787000</v>
      </c>
      <c r="AD10" s="165">
        <f>_xlfn.XLOOKUP(C10,Inputs!$D$10:$N$10,Inputs!$D$174:$N$174)</f>
        <v>17787000</v>
      </c>
      <c r="AE10" s="165">
        <f>_xlfn.XLOOKUP(C10,Inputs!$D$10:$N$10,Inputs!$D$193:$N$193)</f>
        <v>18191960</v>
      </c>
      <c r="AF10" s="165">
        <f>_xlfn.XLOOKUP(C10,Inputs!$D$10:$N$10,Inputs!$D$194:$N$194)</f>
        <v>19354770</v>
      </c>
      <c r="AH10" s="166">
        <f t="shared" si="3"/>
        <v>4.3140134008993192E-2</v>
      </c>
      <c r="AJ10" s="166">
        <f t="shared" si="4"/>
        <v>0.42834437086092714</v>
      </c>
      <c r="AK10" s="166">
        <f t="shared" si="4"/>
        <v>0.42834437086092714</v>
      </c>
      <c r="AL10" s="166">
        <f t="shared" si="4"/>
        <v>0.39437237705047745</v>
      </c>
      <c r="AM10" s="166">
        <f t="shared" si="4"/>
        <v>0.38303689428293575</v>
      </c>
      <c r="AO10" s="165">
        <f>_xlfn.XLOOKUP(C10,Inputs!$D$10:$N$10,Inputs!$D$208:$N$208)</f>
        <v>11969000</v>
      </c>
      <c r="AP10" s="165">
        <f>_xlfn.XLOOKUP(C10,Inputs!$D$10:$N$10,Inputs!$D$176:$N$176)</f>
        <v>11969000</v>
      </c>
      <c r="AQ10" s="165">
        <f>_xlfn.XLOOKUP(C10,Inputs!$D$10:$N$10,Inputs!$D$209:$N$209)</f>
        <v>12360630</v>
      </c>
      <c r="AR10" s="165">
        <f>_xlfn.XLOOKUP(C10,Inputs!$D$10:$N$10,Inputs!$D$210:$N$210)</f>
        <v>13906060</v>
      </c>
      <c r="AT10" s="166">
        <f t="shared" si="5"/>
        <v>7.7886706799216832E-2</v>
      </c>
      <c r="AV10" s="166">
        <f t="shared" si="6"/>
        <v>0.28823600240818786</v>
      </c>
      <c r="AW10" s="166">
        <f t="shared" si="6"/>
        <v>0.28823600240818786</v>
      </c>
      <c r="AX10" s="166">
        <f t="shared" si="6"/>
        <v>0.26795853964836353</v>
      </c>
      <c r="AY10" s="166">
        <f t="shared" si="6"/>
        <v>0.27520523540771402</v>
      </c>
    </row>
    <row r="11" spans="3:51" x14ac:dyDescent="0.25">
      <c r="C11" s="161" t="s">
        <v>215</v>
      </c>
      <c r="D11" t="str">
        <f>_xlfn.XLOOKUP(C11,Inputs!$D$10:$N$10,Inputs!$D$11:$N$11)</f>
        <v>Oracle</v>
      </c>
      <c r="E11" s="165">
        <f>_xlfn.XLOOKUP(C11,Inputs!$D$10:$N$10,Inputs!$D$86:$N$86)</f>
        <v>603513461.36000001</v>
      </c>
      <c r="F11" s="165">
        <f>_xlfn.XLOOKUP(C11,Inputs!$D$10:$N$10,Inputs!$D$77:$N$77)</f>
        <v>481220461.36000001</v>
      </c>
      <c r="G11" s="171">
        <f>_xlfn.XLOOKUP(C11,Inputs!$D$10:$N$10,Inputs!$D$12:$N$12)</f>
        <v>159.16</v>
      </c>
      <c r="H11" s="167">
        <f>_xlfn.XLOOKUP(C11,Inputs!$D$10:$N$10,Inputs!$D$84:$N$84)/'Operating Metrics'!AD11</f>
        <v>3.4435152334290704</v>
      </c>
      <c r="J11" s="165">
        <f>_xlfn.XLOOKUP(C11,Inputs!$D$10:$N$10,Inputs!$D$184:$N$184)</f>
        <v>57399000</v>
      </c>
      <c r="K11" s="165">
        <f>_xlfn.XLOOKUP(C11,Inputs!$D$10:$N$10,Inputs!$D$173:$N$173)</f>
        <v>64076000</v>
      </c>
      <c r="L11" s="165">
        <f>_xlfn.XLOOKUP(C11,Inputs!$D$10:$N$10,Inputs!$D$185:$N$185)</f>
        <v>67119090</v>
      </c>
      <c r="M11" s="165">
        <f>_xlfn.XLOOKUP(C11,Inputs!$D$10:$N$10,Inputs!$D$186:$N$186)</f>
        <v>88996530</v>
      </c>
      <c r="O11" s="166">
        <f t="shared" si="0"/>
        <v>0.24518641460989454</v>
      </c>
      <c r="P11" s="166"/>
      <c r="Q11" s="165">
        <f>_xlfn.XLOOKUP(C11,Inputs!$D$10:$N$10,Inputs!$D$200:$N$200)</f>
        <v>25033000</v>
      </c>
      <c r="R11" s="165">
        <f>_xlfn.XLOOKUP(C11,Inputs!$D$10:$N$10,Inputs!$D$175:$N$175)</f>
        <v>27371000</v>
      </c>
      <c r="S11" s="165">
        <f>_xlfn.XLOOKUP(C11,Inputs!$D$10:$N$10,Inputs!$D$201:$N$201)</f>
        <v>28536000</v>
      </c>
      <c r="T11" s="165">
        <f>_xlfn.XLOOKUP(C11,Inputs!$D$10:$N$10,Inputs!$D$202:$N$202)</f>
        <v>34665560</v>
      </c>
      <c r="U11" s="166"/>
      <c r="V11" s="166">
        <f t="shared" si="1"/>
        <v>0.17677290557604475</v>
      </c>
      <c r="W11" s="166"/>
      <c r="X11" s="166">
        <f t="shared" si="2"/>
        <v>0.43612258053276187</v>
      </c>
      <c r="Y11" s="166">
        <f t="shared" si="2"/>
        <v>0.42716461701729197</v>
      </c>
      <c r="Z11" s="166">
        <f t="shared" si="2"/>
        <v>0.42515475105517669</v>
      </c>
      <c r="AA11" s="166">
        <f t="shared" si="2"/>
        <v>0.38951586089929574</v>
      </c>
      <c r="AB11" s="166"/>
      <c r="AC11" s="165">
        <f>_xlfn.XLOOKUP(C11,Inputs!$D$10:$N$10,Inputs!$D$192:$N$192)</f>
        <v>31207000</v>
      </c>
      <c r="AD11" s="165">
        <f>_xlfn.XLOOKUP(C11,Inputs!$D$10:$N$10,Inputs!$D$174:$N$174)</f>
        <v>35514000</v>
      </c>
      <c r="AE11" s="165">
        <f>_xlfn.XLOOKUP(C11,Inputs!$D$10:$N$10,Inputs!$D$193:$N$193)</f>
        <v>36359120</v>
      </c>
      <c r="AF11" s="165">
        <f>_xlfn.XLOOKUP(C11,Inputs!$D$10:$N$10,Inputs!$D$194:$N$194)</f>
        <v>45937920</v>
      </c>
      <c r="AH11" s="166">
        <f t="shared" si="3"/>
        <v>0.21327612917121574</v>
      </c>
      <c r="AJ11" s="166">
        <f t="shared" si="4"/>
        <v>0.54368543005975711</v>
      </c>
      <c r="AK11" s="166">
        <f t="shared" si="4"/>
        <v>0.55424808040451967</v>
      </c>
      <c r="AL11" s="166">
        <f t="shared" si="4"/>
        <v>0.54171056252401517</v>
      </c>
      <c r="AM11" s="166">
        <f t="shared" si="4"/>
        <v>0.51617652957929938</v>
      </c>
      <c r="AO11" s="165">
        <f>_xlfn.XLOOKUP(C11,Inputs!$D$10:$N$10,Inputs!$D$208:$N$208)</f>
        <v>17284000</v>
      </c>
      <c r="AP11" s="165">
        <f>_xlfn.XLOOKUP(C11,Inputs!$D$10:$N$10,Inputs!$D$176:$N$176)</f>
        <v>20984000</v>
      </c>
      <c r="AQ11" s="165">
        <f>_xlfn.XLOOKUP(C11,Inputs!$D$10:$N$10,Inputs!$D$209:$N$209)</f>
        <v>21860860</v>
      </c>
      <c r="AR11" s="165">
        <f>_xlfn.XLOOKUP(C11,Inputs!$D$10:$N$10,Inputs!$D$210:$N$210)</f>
        <v>23799820</v>
      </c>
      <c r="AT11" s="166">
        <f t="shared" si="5"/>
        <v>0.17345031913139275</v>
      </c>
      <c r="AV11" s="166">
        <f t="shared" si="6"/>
        <v>0.30112022857541071</v>
      </c>
      <c r="AW11" s="166">
        <f t="shared" si="6"/>
        <v>0.32748611024408514</v>
      </c>
      <c r="AX11" s="166">
        <f t="shared" si="6"/>
        <v>0.32570256837510758</v>
      </c>
      <c r="AY11" s="166">
        <f t="shared" si="6"/>
        <v>0.26742413440164464</v>
      </c>
    </row>
    <row r="12" spans="3:51" x14ac:dyDescent="0.25">
      <c r="C12" s="161" t="s">
        <v>217</v>
      </c>
      <c r="D12" t="str">
        <f>_xlfn.XLOOKUP(C12,Inputs!$D$10:$N$10,Inputs!$D$11:$N$11)</f>
        <v>Palo Alto Networks</v>
      </c>
      <c r="E12" s="165">
        <f>_xlfn.XLOOKUP(C12,Inputs!$D$10:$N$10,Inputs!$D$86:$N$86)</f>
        <v>136728940</v>
      </c>
      <c r="F12" s="165">
        <f>_xlfn.XLOOKUP(C12,Inputs!$D$10:$N$10,Inputs!$D$77:$N$77)</f>
        <v>140892940</v>
      </c>
      <c r="G12" s="171">
        <f>_xlfn.XLOOKUP(C12,Inputs!$D$10:$N$10,Inputs!$D$12:$N$12)</f>
        <v>168.13</v>
      </c>
      <c r="H12" s="167">
        <f>_xlfn.XLOOKUP(C12,Inputs!$D$10:$N$10,Inputs!$D$84:$N$84)/'Operating Metrics'!AD12</f>
        <v>-1.2702092611799158</v>
      </c>
      <c r="J12" s="165">
        <f>_xlfn.XLOOKUP(C12,Inputs!$D$10:$N$10,Inputs!$D$184:$N$184)</f>
        <v>9221500</v>
      </c>
      <c r="K12" s="165">
        <f>_xlfn.XLOOKUP(C12,Inputs!$D$10:$N$10,Inputs!$D$173:$N$173)</f>
        <v>9893300</v>
      </c>
      <c r="L12" s="165">
        <f>_xlfn.XLOOKUP(C12,Inputs!$D$10:$N$10,Inputs!$D$185:$N$185)</f>
        <v>11294170</v>
      </c>
      <c r="M12" s="165">
        <f>_xlfn.XLOOKUP(C12,Inputs!$D$10:$N$10,Inputs!$D$186:$N$186)</f>
        <v>13571780</v>
      </c>
      <c r="O12" s="166">
        <f t="shared" si="0"/>
        <v>0.21315870891992073</v>
      </c>
      <c r="P12" s="166"/>
      <c r="Q12" s="165">
        <f>_xlfn.XLOOKUP(C12,Inputs!$D$10:$N$10,Inputs!$D$200:$N$200)</f>
        <v>2651900</v>
      </c>
      <c r="R12" s="165">
        <f>_xlfn.XLOOKUP(C12,Inputs!$D$10:$N$10,Inputs!$D$175:$N$175)</f>
        <v>2926300</v>
      </c>
      <c r="S12" s="165">
        <f>_xlfn.XLOOKUP(C12,Inputs!$D$10:$N$10,Inputs!$D$201:$N$201)</f>
        <v>3244140</v>
      </c>
      <c r="T12" s="165">
        <f>_xlfn.XLOOKUP(C12,Inputs!$D$10:$N$10,Inputs!$D$202:$N$202)</f>
        <v>3988560</v>
      </c>
      <c r="U12" s="166"/>
      <c r="V12" s="166">
        <f t="shared" si="1"/>
        <v>0.2263925202903232</v>
      </c>
      <c r="W12" s="166"/>
      <c r="X12" s="166">
        <f t="shared" si="2"/>
        <v>0.28757794285094618</v>
      </c>
      <c r="Y12" s="166">
        <f t="shared" si="2"/>
        <v>0.29578603701494949</v>
      </c>
      <c r="Z12" s="166">
        <f t="shared" si="2"/>
        <v>0.28724023102184576</v>
      </c>
      <c r="AA12" s="166">
        <f t="shared" si="2"/>
        <v>0.29388628462884014</v>
      </c>
      <c r="AB12" s="166"/>
      <c r="AC12" s="165">
        <f>_xlfn.XLOOKUP(C12,Inputs!$D$10:$N$10,Inputs!$D$192:$N$192)</f>
        <v>2995300</v>
      </c>
      <c r="AD12" s="165">
        <f>_xlfn.XLOOKUP(C12,Inputs!$D$10:$N$10,Inputs!$D$174:$N$174)</f>
        <v>3278200</v>
      </c>
      <c r="AE12" s="165">
        <f>_xlfn.XLOOKUP(C12,Inputs!$D$10:$N$10,Inputs!$D$193:$N$193)</f>
        <v>3498640</v>
      </c>
      <c r="AF12" s="165">
        <f>_xlfn.XLOOKUP(C12,Inputs!$D$10:$N$10,Inputs!$D$194:$N$194)</f>
        <v>4212200</v>
      </c>
      <c r="AH12" s="166">
        <f t="shared" si="3"/>
        <v>0.18586248052725951</v>
      </c>
      <c r="AJ12" s="166">
        <f t="shared" si="4"/>
        <v>0.32481700374125683</v>
      </c>
      <c r="AK12" s="166">
        <f t="shared" si="4"/>
        <v>0.33135556386645509</v>
      </c>
      <c r="AL12" s="166">
        <f t="shared" si="4"/>
        <v>0.30977398073519347</v>
      </c>
      <c r="AM12" s="166">
        <f t="shared" si="4"/>
        <v>0.31036459476944073</v>
      </c>
      <c r="AO12" s="165">
        <f>_xlfn.XLOOKUP(C12,Inputs!$D$10:$N$10,Inputs!$D$208:$N$208)</f>
        <v>2344500</v>
      </c>
      <c r="AP12" s="165">
        <f>_xlfn.XLOOKUP(C12,Inputs!$D$10:$N$10,Inputs!$D$176:$N$176)</f>
        <v>2627900</v>
      </c>
      <c r="AQ12" s="165">
        <f>_xlfn.XLOOKUP(C12,Inputs!$D$10:$N$10,Inputs!$D$209:$N$209)</f>
        <v>2836720</v>
      </c>
      <c r="AR12" s="165">
        <f>_xlfn.XLOOKUP(C12,Inputs!$D$10:$N$10,Inputs!$D$210:$N$210)</f>
        <v>3355350</v>
      </c>
      <c r="AT12" s="166">
        <f t="shared" si="5"/>
        <v>0.19631017275227669</v>
      </c>
      <c r="AV12" s="166">
        <f t="shared" si="6"/>
        <v>0.25424280214715611</v>
      </c>
      <c r="AW12" s="166">
        <f t="shared" si="6"/>
        <v>0.26562421032415878</v>
      </c>
      <c r="AX12" s="166">
        <f t="shared" si="6"/>
        <v>0.25116675240411646</v>
      </c>
      <c r="AY12" s="166">
        <f t="shared" si="6"/>
        <v>0.24722991383591542</v>
      </c>
    </row>
    <row r="14" spans="3:51" x14ac:dyDescent="0.25">
      <c r="C14" s="87" t="s">
        <v>403</v>
      </c>
      <c r="D14" s="88"/>
      <c r="E14" s="88"/>
      <c r="F14" s="88"/>
      <c r="G14" s="88"/>
      <c r="H14" s="172">
        <f>AVERAGE(H7:H12)</f>
        <v>-1.1294503274368271</v>
      </c>
      <c r="I14" s="88"/>
      <c r="J14" s="88"/>
      <c r="K14" s="88"/>
      <c r="L14" s="88"/>
      <c r="M14" s="88"/>
      <c r="N14" s="88"/>
      <c r="O14" s="174">
        <f>AVERAGE(O7:O12)</f>
        <v>0.20137539293437581</v>
      </c>
      <c r="P14" s="174"/>
      <c r="Q14" s="174"/>
      <c r="R14" s="174"/>
      <c r="S14" s="174"/>
      <c r="T14" s="174"/>
      <c r="U14" s="174"/>
      <c r="V14" s="174">
        <f>AVERAGE(V7:V12)</f>
        <v>0.20579840413032582</v>
      </c>
      <c r="W14" s="174"/>
      <c r="X14" s="174"/>
      <c r="Y14" s="174"/>
      <c r="Z14" s="174"/>
      <c r="AA14" s="174"/>
      <c r="AB14" s="174"/>
      <c r="AC14" s="88"/>
      <c r="AD14" s="88"/>
      <c r="AE14" s="88"/>
      <c r="AF14" s="88"/>
      <c r="AG14" s="88"/>
      <c r="AH14" s="174">
        <f>AVERAGE(AH7:AH12)</f>
        <v>0.17676147142776077</v>
      </c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174">
        <f>AVERAGE(AT7:AT12)</f>
        <v>0.199799033030747</v>
      </c>
      <c r="AU14" s="88"/>
      <c r="AV14" s="88"/>
      <c r="AW14" s="88"/>
      <c r="AX14" s="88"/>
      <c r="AY14" s="89"/>
    </row>
    <row r="15" spans="3:51" x14ac:dyDescent="0.25">
      <c r="C15" s="187" t="s">
        <v>404</v>
      </c>
      <c r="H15" s="167">
        <f>MEDIAN(H7:H12)</f>
        <v>-1.733795656438055</v>
      </c>
      <c r="O15" s="166">
        <f>MEDIAN(O7:O12)</f>
        <v>0.20626940151695272</v>
      </c>
      <c r="P15" s="166"/>
      <c r="Q15" s="166"/>
      <c r="R15" s="166"/>
      <c r="S15" s="166"/>
      <c r="T15" s="166"/>
      <c r="U15" s="166"/>
      <c r="V15" s="166">
        <f>MEDIAN(V7:V12)</f>
        <v>0.21511815858758487</v>
      </c>
      <c r="W15" s="166"/>
      <c r="X15" s="166"/>
      <c r="Y15" s="166"/>
      <c r="Z15" s="166"/>
      <c r="AA15" s="166"/>
      <c r="AB15" s="166"/>
      <c r="AH15" s="166">
        <f>MEDIAN(AH7:AH12)</f>
        <v>0.19956930484923763</v>
      </c>
      <c r="AT15" s="166">
        <f>MEDIAN(AT7:AT12)</f>
        <v>0.18488024594183472</v>
      </c>
      <c r="AY15" s="169"/>
    </row>
    <row r="16" spans="3:51" x14ac:dyDescent="0.25">
      <c r="C16" s="187" t="s">
        <v>405</v>
      </c>
      <c r="H16" s="167">
        <f>MIN(H7:H12)</f>
        <v>-3.8793772760378733</v>
      </c>
      <c r="O16" s="166">
        <f>MIN(O7:O12)</f>
        <v>0.10311015626605258</v>
      </c>
      <c r="P16" s="166"/>
      <c r="Q16" s="166"/>
      <c r="R16" s="166"/>
      <c r="S16" s="166"/>
      <c r="T16" s="166"/>
      <c r="U16" s="166"/>
      <c r="V16" s="166">
        <f>MIN(V7:V12)</f>
        <v>0.12286279364328556</v>
      </c>
      <c r="W16" s="166"/>
      <c r="X16" s="166"/>
      <c r="Y16" s="166"/>
      <c r="Z16" s="166"/>
      <c r="AA16" s="166"/>
      <c r="AB16" s="166"/>
      <c r="AH16" s="166">
        <f>MIN(AH7:AH12)</f>
        <v>4.3140134008993192E-2</v>
      </c>
      <c r="AT16" s="166">
        <f>MIN(AT7:AT12)</f>
        <v>7.7886706799216832E-2</v>
      </c>
      <c r="AY16" s="169"/>
    </row>
    <row r="17" spans="3:51" x14ac:dyDescent="0.25">
      <c r="C17" s="188" t="s">
        <v>406</v>
      </c>
      <c r="D17" s="159"/>
      <c r="E17" s="159"/>
      <c r="F17" s="159"/>
      <c r="G17" s="159"/>
      <c r="H17" s="173">
        <f>MAX(H7:H12)</f>
        <v>3.4435152334290704</v>
      </c>
      <c r="I17" s="159"/>
      <c r="J17" s="159"/>
      <c r="K17" s="159"/>
      <c r="L17" s="159"/>
      <c r="M17" s="159"/>
      <c r="N17" s="159"/>
      <c r="O17" s="175">
        <f>MAX(O7:O12)</f>
        <v>0.27744701308710651</v>
      </c>
      <c r="P17" s="175"/>
      <c r="Q17" s="175"/>
      <c r="R17" s="175"/>
      <c r="S17" s="175"/>
      <c r="T17" s="175"/>
      <c r="U17" s="175"/>
      <c r="V17" s="175">
        <f>MAX(V7:V12)</f>
        <v>0.25586071932965426</v>
      </c>
      <c r="W17" s="175"/>
      <c r="X17" s="175"/>
      <c r="Y17" s="175"/>
      <c r="Z17" s="175"/>
      <c r="AA17" s="175"/>
      <c r="AB17" s="175"/>
      <c r="AC17" s="159"/>
      <c r="AD17" s="159"/>
      <c r="AE17" s="159"/>
      <c r="AF17" s="159"/>
      <c r="AG17" s="159"/>
      <c r="AH17" s="175">
        <f>MAX(AH7:AH12)</f>
        <v>0.21920487225340035</v>
      </c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75">
        <f>MAX(AT7:AT12)</f>
        <v>0.34237752670862198</v>
      </c>
      <c r="AU17" s="159"/>
      <c r="AV17" s="159"/>
      <c r="AW17" s="159"/>
      <c r="AX17" s="159"/>
      <c r="AY17" s="17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5EA0-E1C5-467C-A96D-C9426FAE0199}">
  <dimension ref="C2:W17"/>
  <sheetViews>
    <sheetView showGridLines="0" workbookViewId="0">
      <selection activeCell="D10" sqref="D10"/>
    </sheetView>
  </sheetViews>
  <sheetFormatPr defaultRowHeight="15" x14ac:dyDescent="0.25"/>
  <cols>
    <col min="1" max="2" width="2.140625" customWidth="1"/>
    <col min="3" max="7" width="21.85546875" customWidth="1"/>
    <col min="11" max="11" width="2.140625" customWidth="1"/>
    <col min="15" max="15" width="2.140625" customWidth="1"/>
    <col min="19" max="19" width="2.140625" customWidth="1"/>
  </cols>
  <sheetData>
    <row r="2" spans="3:23" ht="17.25" x14ac:dyDescent="0.3">
      <c r="C2" s="20" t="s">
        <v>393</v>
      </c>
      <c r="D2" s="3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180"/>
    </row>
    <row r="3" spans="3:23" x14ac:dyDescent="0.25">
      <c r="C3" s="25" t="s">
        <v>15</v>
      </c>
      <c r="D3" s="3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180"/>
    </row>
    <row r="5" spans="3:23" x14ac:dyDescent="0.25">
      <c r="C5" s="161"/>
      <c r="D5" s="161"/>
      <c r="E5" s="161"/>
      <c r="F5" s="161"/>
      <c r="G5" s="161"/>
      <c r="H5" s="162" t="s">
        <v>413</v>
      </c>
      <c r="I5" s="162"/>
      <c r="J5" s="162"/>
      <c r="K5" s="161"/>
      <c r="L5" s="162" t="s">
        <v>415</v>
      </c>
      <c r="M5" s="162"/>
      <c r="N5" s="162"/>
      <c r="O5" s="161"/>
      <c r="P5" s="162" t="s">
        <v>416</v>
      </c>
      <c r="Q5" s="162"/>
      <c r="R5" s="162"/>
      <c r="S5" s="161"/>
      <c r="T5" s="162" t="s">
        <v>417</v>
      </c>
      <c r="U5" s="162"/>
      <c r="V5" s="162"/>
    </row>
    <row r="6" spans="3:23" x14ac:dyDescent="0.25">
      <c r="C6" s="163" t="s">
        <v>3</v>
      </c>
      <c r="D6" s="163" t="s">
        <v>398</v>
      </c>
      <c r="E6" s="163" t="s">
        <v>341</v>
      </c>
      <c r="F6" s="163" t="s">
        <v>407</v>
      </c>
      <c r="G6" s="163" t="s">
        <v>399</v>
      </c>
      <c r="H6" s="163" t="s">
        <v>400</v>
      </c>
      <c r="I6" s="163" t="s">
        <v>354</v>
      </c>
      <c r="J6" s="163" t="s">
        <v>355</v>
      </c>
      <c r="K6" s="163"/>
      <c r="L6" s="163" t="s">
        <v>400</v>
      </c>
      <c r="M6" s="163" t="s">
        <v>354</v>
      </c>
      <c r="N6" s="163" t="s">
        <v>355</v>
      </c>
      <c r="O6" s="163"/>
      <c r="P6" s="163" t="s">
        <v>400</v>
      </c>
      <c r="Q6" s="163" t="s">
        <v>354</v>
      </c>
      <c r="R6" s="163" t="s">
        <v>355</v>
      </c>
      <c r="S6" s="163"/>
      <c r="T6" s="163" t="s">
        <v>400</v>
      </c>
      <c r="U6" s="163" t="s">
        <v>354</v>
      </c>
      <c r="V6" s="163" t="s">
        <v>355</v>
      </c>
    </row>
    <row r="7" spans="3:23" x14ac:dyDescent="0.25">
      <c r="C7" s="161" t="s">
        <v>207</v>
      </c>
      <c r="D7" t="str">
        <f>_xlfn.XLOOKUP(C7,Inputs!$D$10:$N$10,Inputs!$D$11:$N$11)</f>
        <v>Datadog</v>
      </c>
      <c r="E7" s="203">
        <f>'Operating Metrics'!E7</f>
        <v>44177973.523539998</v>
      </c>
      <c r="F7" s="203">
        <f>'Operating Metrics'!F7</f>
        <v>47373804.523539998</v>
      </c>
      <c r="G7" s="204">
        <f>'Operating Metrics'!G7</f>
        <v>127.16</v>
      </c>
      <c r="H7" s="183">
        <f>E7/'Operating Metrics'!K7</f>
        <v>12.890556409579014</v>
      </c>
      <c r="I7" s="183">
        <f>F7/'Operating Metrics'!L7</f>
        <v>11.494088316504834</v>
      </c>
      <c r="J7" s="183">
        <f>E7/'Operating Metrics'!M7</f>
        <v>8.9610312197216633</v>
      </c>
      <c r="K7" s="183"/>
      <c r="L7" s="183">
        <f>$E7/'Operating Metrics'!R7</f>
        <v>57.520107602611304</v>
      </c>
      <c r="M7" s="183">
        <f>$E7/'Operating Metrics'!S7</f>
        <v>50.241636650942212</v>
      </c>
      <c r="N7" s="183">
        <f>$E7/'Operating Metrics'!T7</f>
        <v>39.689845764491317</v>
      </c>
      <c r="O7" s="183"/>
      <c r="P7" s="183">
        <f>$E7/'Operating Metrics'!AD7</f>
        <v>53.627061815416361</v>
      </c>
      <c r="Q7" s="183">
        <f>$E7/'Operating Metrics'!AE7</f>
        <v>44.750783553018636</v>
      </c>
      <c r="R7" s="183">
        <f>$E7/'Operating Metrics'!AF7</f>
        <v>36.174982209362689</v>
      </c>
      <c r="S7" s="183"/>
      <c r="T7" s="183">
        <f>$F7/'Operating Metrics'!AP7</f>
        <v>63.454254889000801</v>
      </c>
      <c r="U7" s="183">
        <f>$F7/'Operating Metrics'!AQ7</f>
        <v>59.37831934565007</v>
      </c>
      <c r="V7" s="183">
        <f>$F7/'Operating Metrics'!AR7</f>
        <v>46.46905207955114</v>
      </c>
    </row>
    <row r="8" spans="3:23" x14ac:dyDescent="0.25">
      <c r="C8" s="161" t="s">
        <v>209</v>
      </c>
      <c r="D8" t="str">
        <f>_xlfn.XLOOKUP(C8,Inputs!$D$10:$N$10,Inputs!$D$11:$N$11)</f>
        <v>Snowflake</v>
      </c>
      <c r="E8" s="203">
        <f>'Operating Metrics'!E8</f>
        <v>66703554.580279306</v>
      </c>
      <c r="F8" s="203">
        <f>'Operating Metrics'!F8</f>
        <v>69648793.580279306</v>
      </c>
      <c r="G8" s="204">
        <f>'Operating Metrics'!G8</f>
        <v>177.25</v>
      </c>
      <c r="H8" s="183">
        <f>E8/'Operating Metrics'!K8</f>
        <v>15.205785682402329</v>
      </c>
      <c r="I8" s="183">
        <f>F8/'Operating Metrics'!L8</f>
        <v>14.869670594323019</v>
      </c>
      <c r="J8" s="183">
        <f>E8/'Operating Metrics'!M8</f>
        <v>11.271662081121109</v>
      </c>
      <c r="K8" s="183"/>
      <c r="L8" s="183">
        <f>$E8/'Operating Metrics'!R8</f>
        <v>98.01591473257821</v>
      </c>
      <c r="M8" s="183">
        <f>$E8/'Operating Metrics'!S8</f>
        <v>136.20753610283285</v>
      </c>
      <c r="N8" s="183">
        <f>$E8/'Operating Metrics'!T8</f>
        <v>90.200885166030162</v>
      </c>
      <c r="O8" s="183"/>
      <c r="P8" s="183">
        <f>$E8/'Operating Metrics'!AD8</f>
        <v>74.764096069859022</v>
      </c>
      <c r="Q8" s="183">
        <f>$E8/'Operating Metrics'!AE8</f>
        <v>93.927501661990689</v>
      </c>
      <c r="R8" s="183">
        <f>$E8/'Operating Metrics'!AF8</f>
        <v>73.353811094067467</v>
      </c>
      <c r="S8" s="183"/>
      <c r="T8" s="183">
        <f>$F8/'Operating Metrics'!AP8</f>
        <v>105.9977560963528</v>
      </c>
      <c r="U8" s="183">
        <f>$F8/'Operating Metrics'!AQ8</f>
        <v>103.95187173367458</v>
      </c>
      <c r="V8" s="183">
        <f>$F8/'Operating Metrics'!AR8</f>
        <v>75.196814558397904</v>
      </c>
    </row>
    <row r="9" spans="3:23" x14ac:dyDescent="0.25">
      <c r="C9" s="161" t="s">
        <v>211</v>
      </c>
      <c r="D9" t="str">
        <f>_xlfn.XLOOKUP(C9,Inputs!$D$10:$N$10,Inputs!$D$11:$N$11)</f>
        <v>Hubspot</v>
      </c>
      <c r="E9" s="203">
        <f>'Operating Metrics'!E9</f>
        <v>12388367.019679999</v>
      </c>
      <c r="F9" s="203">
        <f>'Operating Metrics'!F9</f>
        <v>13966518.019679999</v>
      </c>
      <c r="G9" s="204">
        <f>'Operating Metrics'!G9</f>
        <v>257.63</v>
      </c>
      <c r="H9" s="183">
        <f>E9/'Operating Metrics'!K9</f>
        <v>3.9563445008121314</v>
      </c>
      <c r="I9" s="183">
        <f>F9/'Operating Metrics'!L9</f>
        <v>3.7784620016178119</v>
      </c>
      <c r="J9" s="183">
        <f>E9/'Operating Metrics'!M9</f>
        <v>2.8903116347881674</v>
      </c>
      <c r="K9" s="183"/>
      <c r="L9" s="183">
        <f>$E9/'Operating Metrics'!R9</f>
        <v>21.289475391312266</v>
      </c>
      <c r="M9" s="183">
        <f>$E9/'Operating Metrics'!S9</f>
        <v>16.734252356720248</v>
      </c>
      <c r="N9" s="183">
        <f>$E9/'Operating Metrics'!T9</f>
        <v>13.645830279980173</v>
      </c>
      <c r="O9" s="183"/>
      <c r="P9" s="183">
        <f>$E9/'Operating Metrics'!AD9</f>
        <v>17.249284345331912</v>
      </c>
      <c r="Q9" s="183">
        <f>$E9/'Operating Metrics'!AE9</f>
        <v>14.118762558898613</v>
      </c>
      <c r="R9" s="183">
        <f>$E9/'Operating Metrics'!AF9</f>
        <v>11.604266717573553</v>
      </c>
      <c r="S9" s="183"/>
      <c r="T9" s="183">
        <f>$F9/'Operating Metrics'!AP9</f>
        <v>27.067524864299166</v>
      </c>
      <c r="U9" s="183">
        <f>$F9/'Operating Metrics'!AQ9</f>
        <v>21.602607838396334</v>
      </c>
      <c r="V9" s="183">
        <f>$F9/'Operating Metrics'!AR9</f>
        <v>17.597608572537357</v>
      </c>
    </row>
    <row r="10" spans="3:23" x14ac:dyDescent="0.25">
      <c r="C10" s="161" t="s">
        <v>213</v>
      </c>
      <c r="D10" t="str">
        <f>_xlfn.XLOOKUP(C10,Inputs!$D$10:$N$10,Inputs!$D$11:$N$11)</f>
        <v>Salesforce</v>
      </c>
      <c r="E10" s="203">
        <f>'Operating Metrics'!E10</f>
        <v>195930600</v>
      </c>
      <c r="F10" s="203">
        <f>'Operating Metrics'!F10</f>
        <v>188319600</v>
      </c>
      <c r="G10" s="204">
        <f>'Operating Metrics'!G10</f>
        <v>199.28</v>
      </c>
      <c r="H10" s="183">
        <f>E10/'Operating Metrics'!K10</f>
        <v>4.7183768813967486</v>
      </c>
      <c r="I10" s="183">
        <f>F10/'Operating Metrics'!L10</f>
        <v>4.0824654571137522</v>
      </c>
      <c r="J10" s="183">
        <f>E10/'Operating Metrics'!M10</f>
        <v>3.8775272720364109</v>
      </c>
      <c r="K10" s="183"/>
      <c r="L10" s="183">
        <f>$E10/'Operating Metrics'!R10</f>
        <v>13.840816614862955</v>
      </c>
      <c r="M10" s="183">
        <f>$E10/'Operating Metrics'!S10</f>
        <v>12.342598180459786</v>
      </c>
      <c r="N10" s="183">
        <f>$E10/'Operating Metrics'!T10</f>
        <v>10.977623488781489</v>
      </c>
      <c r="O10" s="183"/>
      <c r="P10" s="183">
        <f>$E10/'Operating Metrics'!AD10</f>
        <v>11.015382020576826</v>
      </c>
      <c r="Q10" s="183">
        <f>$E10/'Operating Metrics'!AE10</f>
        <v>10.770175396164019</v>
      </c>
      <c r="R10" s="183">
        <f>$E10/'Operating Metrics'!AF10</f>
        <v>10.123116937065127</v>
      </c>
      <c r="S10" s="183"/>
      <c r="T10" s="183">
        <f>$F10/'Operating Metrics'!AP10</f>
        <v>15.733946027237028</v>
      </c>
      <c r="U10" s="183">
        <f>$F10/'Operating Metrics'!AQ10</f>
        <v>15.23543702869514</v>
      </c>
      <c r="V10" s="183">
        <f>$F10/'Operating Metrics'!AR10</f>
        <v>13.542268622456684</v>
      </c>
    </row>
    <row r="11" spans="3:23" x14ac:dyDescent="0.25">
      <c r="C11" s="161" t="s">
        <v>215</v>
      </c>
      <c r="D11" t="str">
        <f>_xlfn.XLOOKUP(C11,Inputs!$D$10:$N$10,Inputs!$D$11:$N$11)</f>
        <v>Oracle</v>
      </c>
      <c r="E11" s="203">
        <f>'Operating Metrics'!E11</f>
        <v>603513461.36000001</v>
      </c>
      <c r="F11" s="203">
        <f>'Operating Metrics'!F11</f>
        <v>481220461.36000001</v>
      </c>
      <c r="G11" s="204">
        <f>'Operating Metrics'!G11</f>
        <v>159.16</v>
      </c>
      <c r="H11" s="183">
        <f>E11/'Operating Metrics'!K11</f>
        <v>9.4187131119295842</v>
      </c>
      <c r="I11" s="183">
        <f>F11/'Operating Metrics'!L11</f>
        <v>7.1696511582621278</v>
      </c>
      <c r="J11" s="183">
        <f>E11/'Operating Metrics'!M11</f>
        <v>6.7813145227122904</v>
      </c>
      <c r="K11" s="183"/>
      <c r="L11" s="183">
        <f>$E11/'Operating Metrics'!R11</f>
        <v>22.049375666216068</v>
      </c>
      <c r="M11" s="183">
        <f>$E11/'Operating Metrics'!S11</f>
        <v>21.149196150827027</v>
      </c>
      <c r="N11" s="183">
        <f>$E11/'Operating Metrics'!T11</f>
        <v>17.409597922549068</v>
      </c>
      <c r="O11" s="183"/>
      <c r="P11" s="183">
        <f>$E11/'Operating Metrics'!AD11</f>
        <v>16.993677461282875</v>
      </c>
      <c r="Q11" s="183">
        <f>$E11/'Operating Metrics'!AE11</f>
        <v>16.598681743672564</v>
      </c>
      <c r="R11" s="183">
        <f>$E11/'Operating Metrics'!AF11</f>
        <v>13.137587887305303</v>
      </c>
      <c r="S11" s="183"/>
      <c r="T11" s="183">
        <f>$F11/'Operating Metrics'!AP11</f>
        <v>22.932732622950819</v>
      </c>
      <c r="U11" s="183">
        <f>$F11/'Operating Metrics'!AQ11</f>
        <v>22.012878787019357</v>
      </c>
      <c r="V11" s="183">
        <f>$F11/'Operating Metrics'!AR11</f>
        <v>20.219500036554898</v>
      </c>
    </row>
    <row r="12" spans="3:23" x14ac:dyDescent="0.25">
      <c r="C12" s="161" t="s">
        <v>217</v>
      </c>
      <c r="D12" t="str">
        <f>_xlfn.XLOOKUP(C12,Inputs!$D$10:$N$10,Inputs!$D$11:$N$11)</f>
        <v>Palo Alto Networks</v>
      </c>
      <c r="E12" s="203">
        <f>'Operating Metrics'!E12</f>
        <v>136728940</v>
      </c>
      <c r="F12" s="203">
        <f>'Operating Metrics'!F12</f>
        <v>140892940</v>
      </c>
      <c r="G12" s="204">
        <f>'Operating Metrics'!G12</f>
        <v>168.13</v>
      </c>
      <c r="H12" s="183">
        <f>E12/'Operating Metrics'!K12</f>
        <v>13.820357211446129</v>
      </c>
      <c r="I12" s="183">
        <f>F12/'Operating Metrics'!L12</f>
        <v>12.474837903095137</v>
      </c>
      <c r="J12" s="183">
        <f>E12/'Operating Metrics'!M12</f>
        <v>10.074503123392805</v>
      </c>
      <c r="K12" s="183"/>
      <c r="L12" s="183">
        <f>$E12/'Operating Metrics'!R12</f>
        <v>46.724170454157125</v>
      </c>
      <c r="M12" s="183">
        <f>$E12/'Operating Metrics'!S12</f>
        <v>42.146436343684307</v>
      </c>
      <c r="N12" s="183">
        <f>$E12/'Operating Metrics'!T12</f>
        <v>34.280276591050402</v>
      </c>
      <c r="O12" s="183"/>
      <c r="P12" s="183">
        <f>$E12/'Operating Metrics'!AD12</f>
        <v>41.708541272649626</v>
      </c>
      <c r="Q12" s="183">
        <f>$E12/'Operating Metrics'!AE12</f>
        <v>39.080597031989576</v>
      </c>
      <c r="R12" s="183">
        <f>$E12/'Operating Metrics'!AF12</f>
        <v>32.460220312425811</v>
      </c>
      <c r="S12" s="183"/>
      <c r="T12" s="183">
        <f>$F12/'Operating Metrics'!AP12</f>
        <v>53.614269949389247</v>
      </c>
      <c r="U12" s="183">
        <f>$F12/'Operating Metrics'!AQ12</f>
        <v>49.667552666459855</v>
      </c>
      <c r="V12" s="183">
        <f>$F12/'Operating Metrics'!AR12</f>
        <v>41.990534519498709</v>
      </c>
    </row>
    <row r="14" spans="3:23" x14ac:dyDescent="0.25">
      <c r="C14" s="87" t="s">
        <v>403</v>
      </c>
      <c r="D14" s="88"/>
      <c r="E14" s="88"/>
      <c r="F14" s="88"/>
      <c r="G14" s="88"/>
      <c r="H14" s="184">
        <f>AVERAGE(H7:H12)</f>
        <v>10.001688966260989</v>
      </c>
      <c r="I14" s="184">
        <f t="shared" ref="I14:V14" si="0">AVERAGE(I7:I12)</f>
        <v>8.9781959051527807</v>
      </c>
      <c r="J14" s="184">
        <f t="shared" si="0"/>
        <v>7.3093916422954068</v>
      </c>
      <c r="K14" s="184"/>
      <c r="L14" s="184">
        <f t="shared" si="0"/>
        <v>43.239976743622982</v>
      </c>
      <c r="M14" s="184">
        <f t="shared" si="0"/>
        <v>46.470275964244401</v>
      </c>
      <c r="N14" s="184">
        <f t="shared" si="0"/>
        <v>34.367343202147104</v>
      </c>
      <c r="O14" s="184"/>
      <c r="P14" s="184">
        <f t="shared" si="0"/>
        <v>35.893007164186109</v>
      </c>
      <c r="Q14" s="184">
        <f t="shared" si="0"/>
        <v>36.541083657622352</v>
      </c>
      <c r="R14" s="184">
        <f t="shared" si="0"/>
        <v>29.475664192966658</v>
      </c>
      <c r="S14" s="184"/>
      <c r="T14" s="184">
        <f t="shared" si="0"/>
        <v>48.133414074871645</v>
      </c>
      <c r="U14" s="184">
        <f t="shared" si="0"/>
        <v>45.308111233315891</v>
      </c>
      <c r="V14" s="184">
        <f t="shared" si="0"/>
        <v>35.835963064832782</v>
      </c>
      <c r="W14" s="168"/>
    </row>
    <row r="15" spans="3:23" x14ac:dyDescent="0.25">
      <c r="C15" s="187" t="s">
        <v>404</v>
      </c>
      <c r="H15" s="183">
        <f>MEDIAN(H7:H12)</f>
        <v>11.154634760754298</v>
      </c>
      <c r="I15" s="183">
        <f t="shared" ref="I15:V15" si="1">MEDIAN(I7:I12)</f>
        <v>9.3318697373834816</v>
      </c>
      <c r="J15" s="183">
        <f t="shared" si="1"/>
        <v>7.8711728712169773</v>
      </c>
      <c r="K15" s="183"/>
      <c r="L15" s="183">
        <f t="shared" si="1"/>
        <v>34.386773060186599</v>
      </c>
      <c r="M15" s="183">
        <f t="shared" si="1"/>
        <v>31.647816247255669</v>
      </c>
      <c r="N15" s="183">
        <f t="shared" si="1"/>
        <v>25.844937256799735</v>
      </c>
      <c r="O15" s="183"/>
      <c r="P15" s="183">
        <f t="shared" si="1"/>
        <v>29.478912808990771</v>
      </c>
      <c r="Q15" s="183">
        <f t="shared" si="1"/>
        <v>27.83963938783107</v>
      </c>
      <c r="R15" s="183">
        <f t="shared" si="1"/>
        <v>22.79890409986556</v>
      </c>
      <c r="S15" s="183"/>
      <c r="T15" s="183">
        <f t="shared" si="1"/>
        <v>40.340897406844206</v>
      </c>
      <c r="U15" s="183">
        <f t="shared" si="1"/>
        <v>35.840215726739608</v>
      </c>
      <c r="V15" s="183">
        <f t="shared" si="1"/>
        <v>31.105017278026803</v>
      </c>
      <c r="W15" s="168"/>
    </row>
    <row r="16" spans="3:23" x14ac:dyDescent="0.25">
      <c r="C16" s="187" t="s">
        <v>405</v>
      </c>
      <c r="H16" s="183">
        <f>MIN(H7:H12)</f>
        <v>3.9563445008121314</v>
      </c>
      <c r="I16" s="183">
        <f t="shared" ref="I16:V16" si="2">MIN(I7:I12)</f>
        <v>3.7784620016178119</v>
      </c>
      <c r="J16" s="183">
        <f t="shared" si="2"/>
        <v>2.8903116347881674</v>
      </c>
      <c r="K16" s="183"/>
      <c r="L16" s="183">
        <f t="shared" si="2"/>
        <v>13.840816614862955</v>
      </c>
      <c r="M16" s="183">
        <f t="shared" si="2"/>
        <v>12.342598180459786</v>
      </c>
      <c r="N16" s="183">
        <f t="shared" si="2"/>
        <v>10.977623488781489</v>
      </c>
      <c r="O16" s="183"/>
      <c r="P16" s="183">
        <f t="shared" si="2"/>
        <v>11.015382020576826</v>
      </c>
      <c r="Q16" s="183">
        <f t="shared" si="2"/>
        <v>10.770175396164019</v>
      </c>
      <c r="R16" s="183">
        <f t="shared" si="2"/>
        <v>10.123116937065127</v>
      </c>
      <c r="S16" s="183"/>
      <c r="T16" s="183">
        <f t="shared" si="2"/>
        <v>15.733946027237028</v>
      </c>
      <c r="U16" s="183">
        <f t="shared" si="2"/>
        <v>15.23543702869514</v>
      </c>
      <c r="V16" s="183">
        <f t="shared" si="2"/>
        <v>13.542268622456684</v>
      </c>
      <c r="W16" s="168"/>
    </row>
    <row r="17" spans="3:23" x14ac:dyDescent="0.25">
      <c r="C17" s="188" t="s">
        <v>406</v>
      </c>
      <c r="D17" s="159"/>
      <c r="E17" s="159"/>
      <c r="F17" s="159"/>
      <c r="G17" s="159"/>
      <c r="H17" s="185">
        <f>MAX(H7:H12)</f>
        <v>15.205785682402329</v>
      </c>
      <c r="I17" s="185">
        <f t="shared" ref="I17:V17" si="3">MAX(I7:I12)</f>
        <v>14.869670594323019</v>
      </c>
      <c r="J17" s="185">
        <f t="shared" si="3"/>
        <v>11.271662081121109</v>
      </c>
      <c r="K17" s="185"/>
      <c r="L17" s="185">
        <f t="shared" si="3"/>
        <v>98.01591473257821</v>
      </c>
      <c r="M17" s="185">
        <f t="shared" si="3"/>
        <v>136.20753610283285</v>
      </c>
      <c r="N17" s="185">
        <f t="shared" si="3"/>
        <v>90.200885166030162</v>
      </c>
      <c r="O17" s="185"/>
      <c r="P17" s="185">
        <f t="shared" si="3"/>
        <v>74.764096069859022</v>
      </c>
      <c r="Q17" s="185">
        <f t="shared" si="3"/>
        <v>93.927501661990689</v>
      </c>
      <c r="R17" s="185">
        <f t="shared" si="3"/>
        <v>73.353811094067467</v>
      </c>
      <c r="S17" s="185"/>
      <c r="T17" s="185">
        <f t="shared" si="3"/>
        <v>105.9977560963528</v>
      </c>
      <c r="U17" s="185">
        <f t="shared" si="3"/>
        <v>103.95187173367458</v>
      </c>
      <c r="V17" s="185">
        <f t="shared" si="3"/>
        <v>75.196814558397904</v>
      </c>
      <c r="W17" s="1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 Build</vt:lpstr>
      <vt:lpstr>FSM</vt:lpstr>
      <vt:lpstr>Intrinsic&gt;&gt;&gt;</vt:lpstr>
      <vt:lpstr>WACC</vt:lpstr>
      <vt:lpstr>DCF</vt:lpstr>
      <vt:lpstr>Comps&gt;&gt;&gt;</vt:lpstr>
      <vt:lpstr>Inputs</vt:lpstr>
      <vt:lpstr>Operating Metrics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Yan</dc:creator>
  <cp:lastModifiedBy>Felix Yan</cp:lastModifiedBy>
  <dcterms:created xsi:type="dcterms:W3CDTF">2026-03-03T20:23:18Z</dcterms:created>
  <dcterms:modified xsi:type="dcterms:W3CDTF">2026-04-12T20:51:17Z</dcterms:modified>
</cp:coreProperties>
</file>